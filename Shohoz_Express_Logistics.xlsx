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UBORNA\Downloads\"/>
    </mc:Choice>
  </mc:AlternateContent>
  <bookViews>
    <workbookView xWindow="0" yWindow="0" windowWidth="20490" windowHeight="7620" firstSheet="3" activeTab="5"/>
  </bookViews>
  <sheets>
    <sheet name="Analysis_1_OTD_Trend" sheetId="3" r:id="rId1"/>
    <sheet name="Analysis_2_Carrier_Performance" sheetId="4" r:id="rId2"/>
    <sheet name="Analysis_3_Region_Route" sheetId="5" r:id="rId3"/>
    <sheet name="Analysis_4_Delay_vs_Cost" sheetId="6" r:id="rId4"/>
    <sheet name="Analysis_5_Day-of-week Pattern" sheetId="7" r:id="rId5"/>
    <sheet name="Dashboard" sheetId="9" r:id="rId6"/>
  </sheets>
  <calcPr calcId="162913"/>
  <pivotCaches>
    <pivotCache cacheId="512" r:id="rId7"/>
    <pivotCache cacheId="513" r:id="rId8"/>
    <pivotCache cacheId="514" r:id="rId9"/>
    <pivotCache cacheId="515" r:id="rId10"/>
    <pivotCache cacheId="516" r:id="rId11"/>
    <pivotCache cacheId="517" r:id="rId12"/>
    <pivotCache cacheId="518" r:id="rId13"/>
    <pivotCache cacheId="519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ipments_611c1ad0-c7b9-40ed-8216-d4d99dbee25b" name="Shipments" connection="Query - Shipments"/>
          <x15:modelTable id="Routes_43b45466-0ff8-4bd0-b6b6-0026f05b34a4" name="Routes" connection="Query - Routes"/>
          <x15:modelTable id="Carriers_a1ff4990-8063-4a79-aaff-80ff42b3c334" name="Carriers" connection="Query - Carriers"/>
        </x15:modelTables>
        <x15:modelRelationships>
          <x15:modelRelationship fromTable="Shipments" fromColumn="Carrier_ID" toTable="Carriers" toColumn="Carrier_ID"/>
          <x15:modelRelationship fromTable="Shipments" fromColumn="Route_ID" toTable="Routes" toColumn="Route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hipment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>
  <connection id="1" name="Query - Carriers" description="Connection to the 'Carriers' query in the workbook." type="100" refreshedVersion="6" minRefreshableVersion="5">
    <extLst>
      <ext xmlns:x15="http://schemas.microsoft.com/office/spreadsheetml/2010/11/main" uri="{DE250136-89BD-433C-8126-D09CA5730AF9}">
        <x15:connection id="b46e16f0-1337-4cc6-9c7a-60fd4563a530"/>
      </ext>
    </extLst>
  </connection>
  <connection id="2" name="Query - Routes" description="Connection to the 'Routes' query in the workbook." type="100" refreshedVersion="6" minRefreshableVersion="5">
    <extLst>
      <ext xmlns:x15="http://schemas.microsoft.com/office/spreadsheetml/2010/11/main" uri="{DE250136-89BD-433C-8126-D09CA5730AF9}">
        <x15:connection id="c1ccd5b5-eb33-4a89-be5f-2bf743fb6477"/>
      </ext>
    </extLst>
  </connection>
  <connection id="3" name="Query - Shipments" description="Connection to the 'Shipments' query in the workbook." type="100" refreshedVersion="6" minRefreshableVersion="5">
    <extLst>
      <ext xmlns:x15="http://schemas.microsoft.com/office/spreadsheetml/2010/11/main" uri="{DE250136-89BD-433C-8126-D09CA5730AF9}">
        <x15:connection id="61166cf6-5e5a-4dd3-8f12-ef77a8ccb8f8"/>
      </ext>
    </extLst>
  </connection>
  <connection id="4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<sst xmlns="http://schemas.openxmlformats.org/spreadsheetml/2006/main" count="203" uniqueCount="60">
  <si>
    <t>Row Labels</t>
  </si>
  <si>
    <t>Grand Total</t>
  </si>
  <si>
    <t>Count of Shipment_ID</t>
  </si>
  <si>
    <t>Late</t>
  </si>
  <si>
    <t>On Time</t>
  </si>
  <si>
    <t>2025</t>
  </si>
  <si>
    <t>Jul</t>
  </si>
  <si>
    <t>Aug</t>
  </si>
  <si>
    <t>Sep</t>
  </si>
  <si>
    <t>Oct</t>
  </si>
  <si>
    <t>Nov</t>
  </si>
  <si>
    <t>Dec</t>
  </si>
  <si>
    <t>2026</t>
  </si>
  <si>
    <t>Jan</t>
  </si>
  <si>
    <t>Feb</t>
  </si>
  <si>
    <t>Mar</t>
  </si>
  <si>
    <t>Apr</t>
  </si>
  <si>
    <t>May</t>
  </si>
  <si>
    <t>Jun</t>
  </si>
  <si>
    <t>Column Labels</t>
  </si>
  <si>
    <t>Jamuna Cargo Movers</t>
  </si>
  <si>
    <t>Karatoa Express</t>
  </si>
  <si>
    <t>Meghna Transport Ltd.</t>
  </si>
  <si>
    <t>Padma Freight Co.</t>
  </si>
  <si>
    <t>RDM Carrier Service</t>
  </si>
  <si>
    <t>Sundarban Logistics</t>
  </si>
  <si>
    <t>Count of OTD_Flag</t>
  </si>
  <si>
    <t>Average of Shipment_Cost</t>
  </si>
  <si>
    <t>Average of Delay_Days</t>
  </si>
  <si>
    <t>Late %</t>
  </si>
  <si>
    <t>Carrier</t>
  </si>
  <si>
    <t>Chittagong</t>
  </si>
  <si>
    <t>Dhaka</t>
  </si>
  <si>
    <t>Khulna</t>
  </si>
  <si>
    <t>Rajshahi</t>
  </si>
  <si>
    <t>Sylhet</t>
  </si>
  <si>
    <t>Region</t>
  </si>
  <si>
    <t>Late%</t>
  </si>
  <si>
    <t>Chittagong Hill Tracts</t>
  </si>
  <si>
    <t>Chittagong Port Area</t>
  </si>
  <si>
    <t>Dhaka Central</t>
  </si>
  <si>
    <t>Dhaka Suburb</t>
  </si>
  <si>
    <t>Khulna City</t>
  </si>
  <si>
    <t>Khulna Rural Belt</t>
  </si>
  <si>
    <t>Rajshahi City</t>
  </si>
  <si>
    <t>Rajshahi Rural Belt</t>
  </si>
  <si>
    <t>Sylhet City</t>
  </si>
  <si>
    <t>Sylhet Outskirts</t>
  </si>
  <si>
    <t>Route</t>
  </si>
  <si>
    <t>Late Avg Cost</t>
  </si>
  <si>
    <t>On Time Avg Cost</t>
  </si>
  <si>
    <t>Column1</t>
  </si>
  <si>
    <t>Friday</t>
  </si>
  <si>
    <t>Monday</t>
  </si>
  <si>
    <t>Saturday</t>
  </si>
  <si>
    <t>Sunday</t>
  </si>
  <si>
    <t>Thursday</t>
  </si>
  <si>
    <t>Tuesday</t>
  </si>
  <si>
    <t>Wednesday</t>
  </si>
  <si>
    <t>Day of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</si>
</sst>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2" fontId="1" fillId="0" borderId="1" xfId="0" applyNumberFormat="1" applyFont="1" applyBorder="1"/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1"/>
    </xf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109"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/>
        <bottom style="thin">
          <color theme="4" tint="0.39997558519241921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6" formatCode="0.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7" formatCode="0.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68" formatCode="0.000000"/>
    </dxf>
    <dxf>
      <numFmt numFmtId="14" formatCode="0.00%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numFmt numFmtId="171" formatCode="0.000000000"/>
    </dxf>
    <dxf>
      <numFmt numFmtId="172" formatCode="0.0000000000"/>
    </dxf>
    <dxf>
      <numFmt numFmtId="171" formatCode="0.000000000"/>
    </dxf>
    <dxf>
      <numFmt numFmtId="170" formatCode="0.00000000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4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[Book1.xlsx]Analysis_1_OTD_Trend!PivotTable3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Monthly OTD Rate Trend (Jul 2025 – Jun 2026)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Analysis_1_OTD_Trend!$C$2:$C$3</c:f>
              <c:strCache>
                <c:ptCount val="1"/>
                <c:pt idx="0">
                  <c:v>Late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Analysis_1_OTD_Trend!$B$4:$B$18</c:f>
              <c:multiLvlStrCache>
                <c:ptCount val="12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Analysis_1_OTD_Trend!$C$4:$C$18</c:f>
              <c:numCache>
                <c:formatCode>0.0%</c:formatCode>
                <c:ptCount val="12"/>
                <c:pt idx="0">
                  <c:v>0.38902743142144636</c:v>
                </c:pt>
                <c:pt idx="1">
                  <c:v>0.37398373983739835</c:v>
                </c:pt>
                <c:pt idx="2">
                  <c:v>0.41798941798941797</c:v>
                </c:pt>
                <c:pt idx="3">
                  <c:v>0.4022346368715084</c:v>
                </c:pt>
                <c:pt idx="4">
                  <c:v>0.39608801955990219</c:v>
                </c:pt>
                <c:pt idx="5">
                  <c:v>0.37465564738292012</c:v>
                </c:pt>
                <c:pt idx="6">
                  <c:v>0.43465909090909088</c:v>
                </c:pt>
                <c:pt idx="7">
                  <c:v>0.38873994638069703</c:v>
                </c:pt>
                <c:pt idx="8">
                  <c:v>0.36165048543689321</c:v>
                </c:pt>
                <c:pt idx="9">
                  <c:v>0.39039039039039036</c:v>
                </c:pt>
                <c:pt idx="10">
                  <c:v>0.38440860215053763</c:v>
                </c:pt>
                <c:pt idx="11">
                  <c:v>0.39560439560439559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46-472A-8979-1BB4A221ECB4}"/>
            </c:ext>
          </c:extLst>
        </c:ser>
        <c:ser>
          <c:idx val="1"/>
          <c:order val="1"/>
          <c:tx>
            <c:strRef>
              <c:f>Analysis_1_OTD_Trend!$D$2:$D$3</c:f>
              <c:strCache>
                <c:ptCount val="1"/>
                <c:pt idx="0">
                  <c:v>On Time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Analysis_1_OTD_Trend!$B$4:$B$18</c:f>
              <c:multiLvlStrCache>
                <c:ptCount val="12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Analysis_1_OTD_Trend!$D$4:$D$18</c:f>
              <c:numCache>
                <c:formatCode>0.0%</c:formatCode>
                <c:ptCount val="12"/>
                <c:pt idx="0">
                  <c:v>0.61097256857855364</c:v>
                </c:pt>
                <c:pt idx="1">
                  <c:v>0.62601626016260159</c:v>
                </c:pt>
                <c:pt idx="2">
                  <c:v>0.58201058201058198</c:v>
                </c:pt>
                <c:pt idx="3">
                  <c:v>0.5977653631284916</c:v>
                </c:pt>
                <c:pt idx="4">
                  <c:v>0.60391198044009775</c:v>
                </c:pt>
                <c:pt idx="5">
                  <c:v>0.62534435261707988</c:v>
                </c:pt>
                <c:pt idx="6">
                  <c:v>0.56534090909090906</c:v>
                </c:pt>
                <c:pt idx="7">
                  <c:v>0.61126005361930291</c:v>
                </c:pt>
                <c:pt idx="8">
                  <c:v>0.63834951456310685</c:v>
                </c:pt>
                <c:pt idx="9">
                  <c:v>0.60960960960960964</c:v>
                </c:pt>
                <c:pt idx="10">
                  <c:v>0.61559139784946237</c:v>
                </c:pt>
                <c:pt idx="11">
                  <c:v>0.60439560439560436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46-472A-8979-1BB4A221EC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7383320"/>
        <c:axId val="687379056"/>
      </c:lineChart>
      <c:catAx>
        <c:axId val="687383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379056"/>
        <c:crosses val="autoZero"/>
        <c:auto val="1"/>
        <c:lblAlgn val="ctr"/>
        <c:lblOffset val="100"/>
        <c:noMultiLvlLbl val="0"/>
      </c:catAx>
      <c:valAx>
        <c:axId val="687379056"/>
        <c:scaling>
          <c:orientation val="minMax"/>
          <c:min val="0.30000000000000004"/>
        </c:scaling>
        <c:delete val="1"/>
        <c:axPos val="l"/>
        <c:numFmt formatCode="0.0%" sourceLinked="1"/>
        <c:majorTickMark val="none"/>
        <c:minorTickMark val="none"/>
        <c:tickLblPos val="nextTo"/>
        <c:crossAx val="68738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6">
          <a:lumMod val="50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Carrier-wise Late Delivery Rate (%)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Analysis_2_Carrier_Performance!$C$24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009-4F7A-8528-55FF9D8545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09-4F7A-8528-55FF9D8545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009-4F7A-8528-55FF9D8545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09-4F7A-8528-55FF9D8545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09-4F7A-8528-55FF9D8545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09-4F7A-8528-55FF9D8545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Analysis_2_Carrier_Performance!$B$25:$B$30</c:f>
              <c:strCache>
                <c:ptCount val="6"/>
                <c:pt idx="0">
                  <c:v>Karatoa Express</c:v>
                </c:pt>
                <c:pt idx="1">
                  <c:v>Jamuna Cargo Movers</c:v>
                </c:pt>
                <c:pt idx="2">
                  <c:v>Sundarban Logistics</c:v>
                </c:pt>
                <c:pt idx="3">
                  <c:v>Meghna Transport Ltd.</c:v>
                </c:pt>
                <c:pt idx="4">
                  <c:v>RDM Carrier Service</c:v>
                </c:pt>
                <c:pt idx="5">
                  <c:v>Padma Freight Co.</c:v>
                </c:pt>
              </c:strCache>
            </c:strRef>
          </c:cat>
          <c:val>
            <c:numRef>
              <c:f>Analysis_2_Carrier_Performance!$C$25:$C$30</c:f>
              <c:numCache>
                <c:formatCode>0.00%</c:formatCode>
                <c:ptCount val="6"/>
                <c:pt idx="0">
                  <c:v>0.37880000000000003</c:v>
                </c:pt>
                <c:pt idx="1">
                  <c:v>0.38569999999999999</c:v>
                </c:pt>
                <c:pt idx="2">
                  <c:v>0.38929999999999998</c:v>
                </c:pt>
                <c:pt idx="3">
                  <c:v>0.39119999999999999</c:v>
                </c:pt>
                <c:pt idx="4">
                  <c:v>0.39460000000000001</c:v>
                </c:pt>
                <c:pt idx="5">
                  <c:v>0.41170000000000001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9-4F7A-8528-55FF9D8545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03907272"/>
        <c:axId val="603902680"/>
      </c:barChart>
      <c:catAx>
        <c:axId val="603907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02680"/>
        <c:crosses val="autoZero"/>
        <c:auto val="1"/>
        <c:lblAlgn val="ctr"/>
        <c:lblOffset val="100"/>
        <c:noMultiLvlLbl val="0"/>
      </c:catAx>
      <c:valAx>
        <c:axId val="60390268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0390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50800">
        <a:schemeClr val="accent2">
          <a:satMod val="175000"/>
          <a:alpha val="40000"/>
        </a:schemeClr>
      </a:glow>
      <a:outerShdw blurRad="50800" dist="38100" dir="2700000" algn="tl" rotWithShape="0">
        <a:schemeClr val="accent2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Region-wise Late Delivery Rate (%)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Analysis_3_Region_Route!$K$2</c:f>
              <c:strCache>
                <c:ptCount val="1"/>
                <c:pt idx="0">
                  <c:v>Late%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93-43D8-9850-4FE93D19C64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93-43D8-9850-4FE93D19C64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93-43D8-9850-4FE93D19C64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493-43D8-9850-4FE93D19C64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93-43D8-9850-4FE93D19C6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4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Analysis_3_Region_Route!$J$3:$J$7</c:f>
              <c:strCache>
                <c:ptCount val="5"/>
                <c:pt idx="0">
                  <c:v>Khulna</c:v>
                </c:pt>
                <c:pt idx="1">
                  <c:v>Rajshahi</c:v>
                </c:pt>
                <c:pt idx="2">
                  <c:v>Dhaka</c:v>
                </c:pt>
                <c:pt idx="3">
                  <c:v>Sylhet</c:v>
                </c:pt>
                <c:pt idx="4">
                  <c:v>Chittagong</c:v>
                </c:pt>
              </c:strCache>
            </c:strRef>
          </c:cat>
          <c:val>
            <c:numRef>
              <c:f>Analysis_3_Region_Route!$K$3:$K$7</c:f>
              <c:numCache>
                <c:formatCode>0.00%</c:formatCode>
                <c:ptCount val="5"/>
                <c:pt idx="0">
                  <c:v>0.34097706879361916</c:v>
                </c:pt>
                <c:pt idx="1">
                  <c:v>0.34897959183673471</c:v>
                </c:pt>
                <c:pt idx="2">
                  <c:v>0.35129740518962077</c:v>
                </c:pt>
                <c:pt idx="3">
                  <c:v>0.35672514619883039</c:v>
                </c:pt>
                <c:pt idx="4">
                  <c:v>0.35995955510616784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3-43D8-9850-4FE93D19C6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867119192"/>
        <c:axId val="867120176"/>
      </c:barChart>
      <c:catAx>
        <c:axId val="867119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20176"/>
        <c:crosses val="autoZero"/>
        <c:auto val="1"/>
        <c:lblAlgn val="ctr"/>
        <c:lblOffset val="100"/>
        <c:noMultiLvlLbl val="0"/>
      </c:catAx>
      <c:valAx>
        <c:axId val="86712017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867119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50800">
        <a:schemeClr val="accent2">
          <a:lumMod val="50000"/>
          <a:alpha val="40000"/>
        </a:schemeClr>
      </a:glow>
      <a:outerShdw blurRad="50800" dist="38100" dir="2700000" algn="tl" rotWithShape="0">
        <a:schemeClr val="accent2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Route-wise Late Delivery Rate (%)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Analysis_3_Region_Route!$J$23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772-4899-B0A6-DD9F2530394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72-4899-B0A6-DD9F2530394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772-4899-B0A6-DD9F2530394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72-4899-B0A6-DD9F2530394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72-4899-B0A6-DD9F2530394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72-4899-B0A6-DD9F2530394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72-4899-B0A6-DD9F2530394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72-4899-B0A6-DD9F2530394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72-4899-B0A6-DD9F2530394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72-4899-B0A6-DD9F253039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Analysis_3_Region_Route!$I$24:$I$33</c:f>
              <c:strCache>
                <c:ptCount val="10"/>
                <c:pt idx="0">
                  <c:v>Khulna Rural Belt</c:v>
                </c:pt>
                <c:pt idx="1">
                  <c:v>Rajshahi City</c:v>
                </c:pt>
                <c:pt idx="2">
                  <c:v>Dhaka Central</c:v>
                </c:pt>
                <c:pt idx="3">
                  <c:v>Sylhet City</c:v>
                </c:pt>
                <c:pt idx="4">
                  <c:v>Chittagong Hill Tracts</c:v>
                </c:pt>
                <c:pt idx="5">
                  <c:v>Khulna City</c:v>
                </c:pt>
                <c:pt idx="6">
                  <c:v>Dhaka Suburb</c:v>
                </c:pt>
                <c:pt idx="7">
                  <c:v>Chittagong Port Area</c:v>
                </c:pt>
                <c:pt idx="8">
                  <c:v>Sylhet Outskirts</c:v>
                </c:pt>
                <c:pt idx="9">
                  <c:v>Rajshahi Rural Belt</c:v>
                </c:pt>
              </c:strCache>
            </c:strRef>
          </c:cat>
          <c:val>
            <c:numRef>
              <c:f>Analysis_3_Region_Route!$J$24:$J$33</c:f>
              <c:numCache>
                <c:formatCode>0.00%</c:formatCode>
                <c:ptCount val="10"/>
                <c:pt idx="0">
                  <c:v>0.30115830115830117</c:v>
                </c:pt>
                <c:pt idx="1">
                  <c:v>0.31818181818181818</c:v>
                </c:pt>
                <c:pt idx="2">
                  <c:v>0.33471074380165289</c:v>
                </c:pt>
                <c:pt idx="3">
                  <c:v>0.34113060428849901</c:v>
                </c:pt>
                <c:pt idx="4">
                  <c:v>0.34754797441364604</c:v>
                </c:pt>
                <c:pt idx="5">
                  <c:v>0.3583815028901734</c:v>
                </c:pt>
                <c:pt idx="6">
                  <c:v>0.36679536679536678</c:v>
                </c:pt>
                <c:pt idx="7">
                  <c:v>0.37115384615384617</c:v>
                </c:pt>
                <c:pt idx="8">
                  <c:v>0.37231968810916177</c:v>
                </c:pt>
                <c:pt idx="9">
                  <c:v>0.37644787644787647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2-4899-B0A6-DD9F253039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603276120"/>
        <c:axId val="603278416"/>
      </c:barChart>
      <c:catAx>
        <c:axId val="603276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78416"/>
        <c:crosses val="autoZero"/>
        <c:auto val="1"/>
        <c:lblAlgn val="ctr"/>
        <c:lblOffset val="100"/>
        <c:noMultiLvlLbl val="0"/>
      </c:catAx>
      <c:valAx>
        <c:axId val="603278416"/>
        <c:scaling>
          <c:orientation val="minMax"/>
          <c:max val="0.4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7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2">
          <a:satMod val="175000"/>
          <a:alpha val="40000"/>
        </a:schemeClr>
      </a:glow>
      <a:outerShdw blurRad="50800" dist="38100" dir="2700000" algn="tl" rotWithShape="0">
        <a:schemeClr val="accent2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5">
                    <a:lumMod val="50000"/>
                  </a:schemeClr>
                </a:solidFill>
              </a:rPr>
              <a:t>Late vs On Time Average Shipment Cost by Carrier</a:t>
            </a:r>
            <a:endParaRPr lang="en-US" sz="1400" b="1">
              <a:solidFill>
                <a:schemeClr val="accent5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Analysis_4_Delay_vs_Cost!$H$2</c:f>
              <c:strCache>
                <c:ptCount val="1"/>
                <c:pt idx="0">
                  <c:v>Late Avg Cost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Analysis_4_Delay_vs_Cost!$G$3:$G$8</c:f>
              <c:strCache>
                <c:ptCount val="6"/>
                <c:pt idx="0">
                  <c:v>Jamuna Cargo Movers</c:v>
                </c:pt>
                <c:pt idx="1">
                  <c:v>Karatoa Express</c:v>
                </c:pt>
                <c:pt idx="2">
                  <c:v>Meghna Transport Ltd.</c:v>
                </c:pt>
                <c:pt idx="3">
                  <c:v>Padma Freight Co.</c:v>
                </c:pt>
                <c:pt idx="4">
                  <c:v>RDM Carrier Service</c:v>
                </c:pt>
                <c:pt idx="5">
                  <c:v>Sundarban Logistics</c:v>
                </c:pt>
              </c:strCache>
            </c:strRef>
          </c:cat>
          <c:val>
            <c:numRef>
              <c:f>Analysis_4_Delay_vs_Cost!$H$3:$H$8</c:f>
              <c:numCache>
                <c:formatCode>0</c:formatCode>
                <c:ptCount val="6"/>
                <c:pt idx="0">
                  <c:v>491.43434343434342</c:v>
                </c:pt>
                <c:pt idx="1">
                  <c:v>455.35227272727275</c:v>
                </c:pt>
                <c:pt idx="2">
                  <c:v>395.43856655290102</c:v>
                </c:pt>
                <c:pt idx="3">
                  <c:v>345.2302839116719</c:v>
                </c:pt>
                <c:pt idx="4">
                  <c:v>405.72758620689655</c:v>
                </c:pt>
                <c:pt idx="5">
                  <c:v>491.5151515151515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0-476F-8364-C932E1900FB0}"/>
            </c:ext>
          </c:extLst>
        </c:ser>
        <c:ser>
          <c:idx val="1"/>
          <c:order val="1"/>
          <c:tx>
            <c:strRef>
              <c:f>Analysis_4_Delay_vs_Cost!$I$2</c:f>
              <c:strCache>
                <c:ptCount val="1"/>
                <c:pt idx="0">
                  <c:v>On Time Avg Cost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Analysis_4_Delay_vs_Cost!$G$3:$G$8</c:f>
              <c:strCache>
                <c:ptCount val="6"/>
                <c:pt idx="0">
                  <c:v>Jamuna Cargo Movers</c:v>
                </c:pt>
                <c:pt idx="1">
                  <c:v>Karatoa Express</c:v>
                </c:pt>
                <c:pt idx="2">
                  <c:v>Meghna Transport Ltd.</c:v>
                </c:pt>
                <c:pt idx="3">
                  <c:v>Padma Freight Co.</c:v>
                </c:pt>
                <c:pt idx="4">
                  <c:v>RDM Carrier Service</c:v>
                </c:pt>
                <c:pt idx="5">
                  <c:v>Sundarban Logistics</c:v>
                </c:pt>
              </c:strCache>
            </c:strRef>
          </c:cat>
          <c:val>
            <c:numRef>
              <c:f>Analysis_4_Delay_vs_Cost!$I$3:$I$8</c:f>
              <c:numCache>
                <c:formatCode>0</c:formatCode>
                <c:ptCount val="6"/>
                <c:pt idx="0">
                  <c:v>493.72727272727275</c:v>
                </c:pt>
                <c:pt idx="1">
                  <c:v>452.62817551963047</c:v>
                </c:pt>
                <c:pt idx="2">
                  <c:v>387.72039473684208</c:v>
                </c:pt>
                <c:pt idx="3">
                  <c:v>330.11920529801324</c:v>
                </c:pt>
                <c:pt idx="4">
                  <c:v>399.59550561797755</c:v>
                </c:pt>
                <c:pt idx="5">
                  <c:v>486.62982832618025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0-476F-8364-C932E1900F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02966208"/>
        <c:axId val="602968504"/>
      </c:barChart>
      <c:catAx>
        <c:axId val="6029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68504"/>
        <c:crosses val="autoZero"/>
        <c:auto val="1"/>
        <c:lblAlgn val="ctr"/>
        <c:lblOffset val="100"/>
        <c:noMultiLvlLbl val="0"/>
      </c:catAx>
      <c:valAx>
        <c:axId val="602968504"/>
        <c:scaling>
          <c:orientation val="minMax"/>
          <c:max val="550"/>
        </c:scaling>
        <c:delete val="1"/>
        <c:axPos val="l"/>
        <c:numFmt formatCode="0" sourceLinked="1"/>
        <c:majorTickMark val="out"/>
        <c:minorTickMark val="none"/>
        <c:tickLblPos val="nextTo"/>
        <c:crossAx val="60296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1">
          <a:satMod val="175000"/>
          <a:alpha val="40000"/>
        </a:schemeClr>
      </a:glow>
      <a:outerShdw blurRad="50800" dist="38100" dir="2700000" algn="tl" rotWithShape="0">
        <a:schemeClr val="accent5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Late Delivery Rate by Day of Week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'Analysis_5_Day-of-week Pattern'!$F$2</c:f>
              <c:strCache>
                <c:ptCount val="1"/>
                <c:pt idx="0">
                  <c:v>Late%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469-4DFB-A5A6-9AC401A87D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469-4DFB-A5A6-9AC401A87D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69-4DFB-A5A6-9AC401A87D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469-4DFB-A5A6-9AC401A87D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469-4DFB-A5A6-9AC401A87D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69-4DFB-A5A6-9AC401A87D5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469-4DFB-A5A6-9AC401A87D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'Analysis_5_Day-of-week Pattern'!$E$3:$E$9</c:f>
              <c:strCache>
                <c:ptCount val="7"/>
                <c:pt idx="0">
                  <c:v>Saturday</c:v>
                </c:pt>
                <c:pt idx="1">
                  <c:v>Thursday</c:v>
                </c:pt>
                <c:pt idx="2">
                  <c:v>Friday</c:v>
                </c:pt>
                <c:pt idx="3">
                  <c:v>Sunday</c:v>
                </c:pt>
                <c:pt idx="4">
                  <c:v>Wednesday</c:v>
                </c:pt>
                <c:pt idx="5">
                  <c:v>Monday</c:v>
                </c:pt>
                <c:pt idx="6">
                  <c:v>Tuesday</c:v>
                </c:pt>
              </c:strCache>
            </c:strRef>
          </c:cat>
          <c:val>
            <c:numRef>
              <c:f>'Analysis_5_Day-of-week Pattern'!$F$3:$F$9</c:f>
              <c:numCache>
                <c:formatCode>0.00%</c:formatCode>
                <c:ptCount val="7"/>
                <c:pt idx="0">
                  <c:v>0.37049180327868853</c:v>
                </c:pt>
                <c:pt idx="1">
                  <c:v>0.37871674491392804</c:v>
                </c:pt>
                <c:pt idx="2">
                  <c:v>0.38012618296529971</c:v>
                </c:pt>
                <c:pt idx="3">
                  <c:v>0.38138138138138139</c:v>
                </c:pt>
                <c:pt idx="4">
                  <c:v>0.38906752411575563</c:v>
                </c:pt>
                <c:pt idx="5">
                  <c:v>0.41009463722397477</c:v>
                </c:pt>
                <c:pt idx="6">
                  <c:v>0.43151693667157587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9-4DFB-A5A6-9AC401A87D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884001328"/>
        <c:axId val="884001656"/>
      </c:barChart>
      <c:catAx>
        <c:axId val="88400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01656"/>
        <c:crosses val="autoZero"/>
        <c:auto val="1"/>
        <c:lblAlgn val="ctr"/>
        <c:lblOffset val="100"/>
        <c:noMultiLvlLbl val="0"/>
      </c:catAx>
      <c:valAx>
        <c:axId val="88400165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88400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[Book1.xlsx]Analysis_1_OTD_Trend!PivotTable3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Monthly OTD Rate Trend (Jul 2025 – Jun 2026)</a:t>
            </a:r>
            <a:endParaRPr lang="en-US" b="1">
              <a:solidFill>
                <a:schemeClr val="accent6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Analysis_1_OTD_Trend!$C$2:$C$3</c:f>
              <c:strCache>
                <c:ptCount val="1"/>
                <c:pt idx="0">
                  <c:v>Late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Analysis_1_OTD_Trend!$B$4:$B$18</c:f>
              <c:multiLvlStrCache>
                <c:ptCount val="12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Analysis_1_OTD_Trend!$C$4:$C$18</c:f>
              <c:numCache>
                <c:formatCode>0.0%</c:formatCode>
                <c:ptCount val="12"/>
                <c:pt idx="0">
                  <c:v>0.38902743142144636</c:v>
                </c:pt>
                <c:pt idx="1">
                  <c:v>0.37398373983739835</c:v>
                </c:pt>
                <c:pt idx="2">
                  <c:v>0.41798941798941797</c:v>
                </c:pt>
                <c:pt idx="3">
                  <c:v>0.4022346368715084</c:v>
                </c:pt>
                <c:pt idx="4">
                  <c:v>0.39608801955990219</c:v>
                </c:pt>
                <c:pt idx="5">
                  <c:v>0.37465564738292012</c:v>
                </c:pt>
                <c:pt idx="6">
                  <c:v>0.43465909090909088</c:v>
                </c:pt>
                <c:pt idx="7">
                  <c:v>0.38873994638069703</c:v>
                </c:pt>
                <c:pt idx="8">
                  <c:v>0.36165048543689321</c:v>
                </c:pt>
                <c:pt idx="9">
                  <c:v>0.39039039039039036</c:v>
                </c:pt>
                <c:pt idx="10">
                  <c:v>0.38440860215053763</c:v>
                </c:pt>
                <c:pt idx="11">
                  <c:v>0.39560439560439559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FF-4F3A-9A21-AEE622CA7B09}"/>
            </c:ext>
          </c:extLst>
        </c:ser>
        <c:ser>
          <c:idx val="1"/>
          <c:order val="1"/>
          <c:tx>
            <c:strRef>
              <c:f>Analysis_1_OTD_Trend!$D$2:$D$3</c:f>
              <c:strCache>
                <c:ptCount val="1"/>
                <c:pt idx="0">
                  <c:v>On Time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Analysis_1_OTD_Trend!$B$4:$B$18</c:f>
              <c:multiLvlStrCache>
                <c:ptCount val="12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</c:lvl>
                <c:lvl>
                  <c:pt idx="0">
                    <c:v>2025</c:v>
                  </c:pt>
                  <c:pt idx="6">
                    <c:v>2026</c:v>
                  </c:pt>
                </c:lvl>
              </c:multiLvlStrCache>
            </c:multiLvlStrRef>
          </c:cat>
          <c:val>
            <c:numRef>
              <c:f>Analysis_1_OTD_Trend!$D$4:$D$18</c:f>
              <c:numCache>
                <c:formatCode>0.0%</c:formatCode>
                <c:ptCount val="12"/>
                <c:pt idx="0">
                  <c:v>0.61097256857855364</c:v>
                </c:pt>
                <c:pt idx="1">
                  <c:v>0.62601626016260159</c:v>
                </c:pt>
                <c:pt idx="2">
                  <c:v>0.58201058201058198</c:v>
                </c:pt>
                <c:pt idx="3">
                  <c:v>0.5977653631284916</c:v>
                </c:pt>
                <c:pt idx="4">
                  <c:v>0.60391198044009775</c:v>
                </c:pt>
                <c:pt idx="5">
                  <c:v>0.62534435261707988</c:v>
                </c:pt>
                <c:pt idx="6">
                  <c:v>0.56534090909090906</c:v>
                </c:pt>
                <c:pt idx="7">
                  <c:v>0.61126005361930291</c:v>
                </c:pt>
                <c:pt idx="8">
                  <c:v>0.63834951456310685</c:v>
                </c:pt>
                <c:pt idx="9">
                  <c:v>0.60960960960960964</c:v>
                </c:pt>
                <c:pt idx="10">
                  <c:v>0.61559139784946237</c:v>
                </c:pt>
                <c:pt idx="11">
                  <c:v>0.60439560439560436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FF-4F3A-9A21-AEE622CA7B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7383320"/>
        <c:axId val="687379056"/>
      </c:lineChart>
      <c:catAx>
        <c:axId val="687383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379056"/>
        <c:crosses val="autoZero"/>
        <c:auto val="1"/>
        <c:lblAlgn val="ctr"/>
        <c:lblOffset val="100"/>
        <c:noMultiLvlLbl val="0"/>
      </c:catAx>
      <c:valAx>
        <c:axId val="687379056"/>
        <c:scaling>
          <c:orientation val="minMax"/>
          <c:min val="0.30000000000000004"/>
        </c:scaling>
        <c:delete val="1"/>
        <c:axPos val="l"/>
        <c:numFmt formatCode="0.0%" sourceLinked="1"/>
        <c:majorTickMark val="none"/>
        <c:minorTickMark val="none"/>
        <c:tickLblPos val="nextTo"/>
        <c:crossAx val="687383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6">
          <a:lumMod val="50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Carrier-wise Late Delivery Rate (%)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Analysis_2_Carrier_Performance!$C$24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3D-4575-ACA7-C3FAFF3093C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3D-4575-ACA7-C3FAFF3093C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13D-4575-ACA7-C3FAFF3093C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13D-4575-ACA7-C3FAFF3093C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13D-4575-ACA7-C3FAFF3093C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13D-4575-ACA7-C3FAFF3093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Analysis_2_Carrier_Performance!$B$25:$B$30</c:f>
              <c:strCache>
                <c:ptCount val="6"/>
                <c:pt idx="0">
                  <c:v>Karatoa Express</c:v>
                </c:pt>
                <c:pt idx="1">
                  <c:v>Jamuna Cargo Movers</c:v>
                </c:pt>
                <c:pt idx="2">
                  <c:v>Sundarban Logistics</c:v>
                </c:pt>
                <c:pt idx="3">
                  <c:v>Meghna Transport Ltd.</c:v>
                </c:pt>
                <c:pt idx="4">
                  <c:v>RDM Carrier Service</c:v>
                </c:pt>
                <c:pt idx="5">
                  <c:v>Padma Freight Co.</c:v>
                </c:pt>
              </c:strCache>
            </c:strRef>
          </c:cat>
          <c:val>
            <c:numRef>
              <c:f>Analysis_2_Carrier_Performance!$C$25:$C$30</c:f>
              <c:numCache>
                <c:formatCode>0.00%</c:formatCode>
                <c:ptCount val="6"/>
                <c:pt idx="0">
                  <c:v>0.37880000000000003</c:v>
                </c:pt>
                <c:pt idx="1">
                  <c:v>0.38569999999999999</c:v>
                </c:pt>
                <c:pt idx="2">
                  <c:v>0.38929999999999998</c:v>
                </c:pt>
                <c:pt idx="3">
                  <c:v>0.39119999999999999</c:v>
                </c:pt>
                <c:pt idx="4">
                  <c:v>0.39460000000000001</c:v>
                </c:pt>
                <c:pt idx="5">
                  <c:v>0.41170000000000001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13D-4575-ACA7-C3FAFF3093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603907272"/>
        <c:axId val="603902680"/>
      </c:barChart>
      <c:catAx>
        <c:axId val="603907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02680"/>
        <c:crosses val="autoZero"/>
        <c:auto val="1"/>
        <c:lblAlgn val="ctr"/>
        <c:lblOffset val="100"/>
        <c:noMultiLvlLbl val="0"/>
      </c:catAx>
      <c:valAx>
        <c:axId val="60390268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60390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50800">
        <a:schemeClr val="accent2">
          <a:satMod val="175000"/>
          <a:alpha val="40000"/>
        </a:schemeClr>
      </a:glow>
      <a:outerShdw blurRad="50800" dist="38100" dir="2700000" algn="tl" rotWithShape="0">
        <a:schemeClr val="accent2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Late Delivery Rate by Day of Week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'Analysis_5_Day-of-week Pattern'!$F$2</c:f>
              <c:strCache>
                <c:ptCount val="1"/>
                <c:pt idx="0">
                  <c:v>Late%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B32-4A18-BA1B-0CCFA6F97D2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B32-4A18-BA1B-0CCFA6F97D2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B32-4A18-BA1B-0CCFA6F97D2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B32-4A18-BA1B-0CCFA6F97D2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B32-4A18-BA1B-0CCFA6F97D2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B32-4A18-BA1B-0CCFA6F97D2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B32-4A18-BA1B-0CCFA6F97D2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'Analysis_5_Day-of-week Pattern'!$E$3:$E$9</c:f>
              <c:strCache>
                <c:ptCount val="7"/>
                <c:pt idx="0">
                  <c:v>Saturday</c:v>
                </c:pt>
                <c:pt idx="1">
                  <c:v>Thursday</c:v>
                </c:pt>
                <c:pt idx="2">
                  <c:v>Friday</c:v>
                </c:pt>
                <c:pt idx="3">
                  <c:v>Sunday</c:v>
                </c:pt>
                <c:pt idx="4">
                  <c:v>Wednesday</c:v>
                </c:pt>
                <c:pt idx="5">
                  <c:v>Monday</c:v>
                </c:pt>
                <c:pt idx="6">
                  <c:v>Tuesday</c:v>
                </c:pt>
              </c:strCache>
            </c:strRef>
          </c:cat>
          <c:val>
            <c:numRef>
              <c:f>'Analysis_5_Day-of-week Pattern'!$F$3:$F$9</c:f>
              <c:numCache>
                <c:formatCode>0.00%</c:formatCode>
                <c:ptCount val="7"/>
                <c:pt idx="0">
                  <c:v>0.37049180327868853</c:v>
                </c:pt>
                <c:pt idx="1">
                  <c:v>0.37871674491392804</c:v>
                </c:pt>
                <c:pt idx="2">
                  <c:v>0.38012618296529971</c:v>
                </c:pt>
                <c:pt idx="3">
                  <c:v>0.38138138138138139</c:v>
                </c:pt>
                <c:pt idx="4">
                  <c:v>0.38906752411575563</c:v>
                </c:pt>
                <c:pt idx="5">
                  <c:v>0.41009463722397477</c:v>
                </c:pt>
                <c:pt idx="6">
                  <c:v>0.43151693667157587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B32-4A18-BA1B-0CCFA6F97D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"/>
        <c:axId val="884001328"/>
        <c:axId val="884001656"/>
      </c:barChart>
      <c:catAx>
        <c:axId val="88400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001656"/>
        <c:crosses val="autoZero"/>
        <c:auto val="1"/>
        <c:lblAlgn val="ctr"/>
        <c:lblOffset val="100"/>
        <c:noMultiLvlLbl val="0"/>
      </c:catAx>
      <c:valAx>
        <c:axId val="884001656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88400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2">
                    <a:lumMod val="50000"/>
                  </a:schemeClr>
                </a:solidFill>
              </a:rPr>
              <a:t>Route-wise Late Delivery Rate (%)</a:t>
            </a:r>
            <a:endParaRPr lang="en-US" b="1">
              <a:solidFill>
                <a:schemeClr val="accent2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Analysis_3_Region_Route!$J$23</c:f>
              <c:strCache>
                <c:ptCount val="1"/>
                <c:pt idx="0">
                  <c:v>Late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A2C-4A22-98B2-B9B21C3469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2C-4A22-98B2-B9B21C3469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A2C-4A22-98B2-B9B21C3469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A2C-4A22-98B2-B9B21C3469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A2C-4A22-98B2-B9B21C3469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A2C-4A22-98B2-B9B21C3469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A2C-4A22-98B2-B9B21C3469C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A2C-4A22-98B2-B9B21C3469C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A2C-4A22-98B2-B9B21C3469C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A2C-4A22-98B2-B9B21C3469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Analysis_3_Region_Route!$I$24:$I$33</c:f>
              <c:strCache>
                <c:ptCount val="10"/>
                <c:pt idx="0">
                  <c:v>Khulna Rural Belt</c:v>
                </c:pt>
                <c:pt idx="1">
                  <c:v>Rajshahi City</c:v>
                </c:pt>
                <c:pt idx="2">
                  <c:v>Dhaka Central</c:v>
                </c:pt>
                <c:pt idx="3">
                  <c:v>Sylhet City</c:v>
                </c:pt>
                <c:pt idx="4">
                  <c:v>Chittagong Hill Tracts</c:v>
                </c:pt>
                <c:pt idx="5">
                  <c:v>Khulna City</c:v>
                </c:pt>
                <c:pt idx="6">
                  <c:v>Dhaka Suburb</c:v>
                </c:pt>
                <c:pt idx="7">
                  <c:v>Chittagong Port Area</c:v>
                </c:pt>
                <c:pt idx="8">
                  <c:v>Sylhet Outskirts</c:v>
                </c:pt>
                <c:pt idx="9">
                  <c:v>Rajshahi Rural Belt</c:v>
                </c:pt>
              </c:strCache>
            </c:strRef>
          </c:cat>
          <c:val>
            <c:numRef>
              <c:f>Analysis_3_Region_Route!$J$24:$J$33</c:f>
              <c:numCache>
                <c:formatCode>0.00%</c:formatCode>
                <c:ptCount val="10"/>
                <c:pt idx="0">
                  <c:v>0.30115830115830117</c:v>
                </c:pt>
                <c:pt idx="1">
                  <c:v>0.31818181818181818</c:v>
                </c:pt>
                <c:pt idx="2">
                  <c:v>0.33471074380165289</c:v>
                </c:pt>
                <c:pt idx="3">
                  <c:v>0.34113060428849901</c:v>
                </c:pt>
                <c:pt idx="4">
                  <c:v>0.34754797441364604</c:v>
                </c:pt>
                <c:pt idx="5">
                  <c:v>0.3583815028901734</c:v>
                </c:pt>
                <c:pt idx="6">
                  <c:v>0.36679536679536678</c:v>
                </c:pt>
                <c:pt idx="7">
                  <c:v>0.37115384615384617</c:v>
                </c:pt>
                <c:pt idx="8">
                  <c:v>0.37231968810916177</c:v>
                </c:pt>
                <c:pt idx="9">
                  <c:v>0.37644787644787647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A2C-4A22-98B2-B9B21C3469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6"/>
        <c:axId val="603276120"/>
        <c:axId val="603278416"/>
      </c:barChart>
      <c:catAx>
        <c:axId val="603276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78416"/>
        <c:crosses val="autoZero"/>
        <c:auto val="1"/>
        <c:lblAlgn val="ctr"/>
        <c:lblOffset val="100"/>
        <c:noMultiLvlLbl val="0"/>
      </c:catAx>
      <c:valAx>
        <c:axId val="603278416"/>
        <c:scaling>
          <c:orientation val="minMax"/>
          <c:max val="0.4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76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2">
          <a:satMod val="175000"/>
          <a:alpha val="40000"/>
        </a:schemeClr>
      </a:glow>
      <a:outerShdw blurRad="50800" dist="38100" dir="2700000" algn="tl" rotWithShape="0">
        <a:schemeClr val="accent2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chemeClr val="accent6">
                    <a:lumMod val="50000"/>
                  </a:schemeClr>
                </a:solidFill>
              </a:rPr>
              <a:t>Avg Shipment Cost: Late vs On Time</a:t>
            </a:r>
            <a:endParaRPr lang="en-US" sz="1400" b="1">
              <a:solidFill>
                <a:schemeClr val="accent6">
                  <a:lumMod val="50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Analysis_4_Delay_vs_Cost!$H$2</c:f>
              <c:strCache>
                <c:ptCount val="1"/>
                <c:pt idx="0">
                  <c:v>Late Avg Cost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Analysis_4_Delay_vs_Cost!$G$3:$G$8</c:f>
              <c:strCache>
                <c:ptCount val="6"/>
                <c:pt idx="0">
                  <c:v>Jamuna Cargo Movers</c:v>
                </c:pt>
                <c:pt idx="1">
                  <c:v>Karatoa Express</c:v>
                </c:pt>
                <c:pt idx="2">
                  <c:v>Meghna Transport Ltd.</c:v>
                </c:pt>
                <c:pt idx="3">
                  <c:v>Padma Freight Co.</c:v>
                </c:pt>
                <c:pt idx="4">
                  <c:v>RDM Carrier Service</c:v>
                </c:pt>
                <c:pt idx="5">
                  <c:v>Sundarban Logistics</c:v>
                </c:pt>
              </c:strCache>
            </c:strRef>
          </c:cat>
          <c:val>
            <c:numRef>
              <c:f>Analysis_4_Delay_vs_Cost!$H$3:$H$8</c:f>
              <c:numCache>
                <c:formatCode>0</c:formatCode>
                <c:ptCount val="6"/>
                <c:pt idx="0">
                  <c:v>491.43434343434342</c:v>
                </c:pt>
                <c:pt idx="1">
                  <c:v>455.35227272727275</c:v>
                </c:pt>
                <c:pt idx="2">
                  <c:v>395.43856655290102</c:v>
                </c:pt>
                <c:pt idx="3">
                  <c:v>345.2302839116719</c:v>
                </c:pt>
                <c:pt idx="4">
                  <c:v>405.72758620689655</c:v>
                </c:pt>
                <c:pt idx="5">
                  <c:v>491.5151515151515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6-4739-A562-42DBDEB21955}"/>
            </c:ext>
          </c:extLst>
        </c:ser>
        <c:ser>
          <c:idx val="1"/>
          <c:order val="1"/>
          <c:tx>
            <c:strRef>
              <c:f>Analysis_4_Delay_vs_Cost!$I$2</c:f>
              <c:strCache>
                <c:ptCount val="1"/>
                <c:pt idx="0">
                  <c:v>On Time Avg Cost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Analysis_4_Delay_vs_Cost!$G$3:$G$8</c:f>
              <c:strCache>
                <c:ptCount val="6"/>
                <c:pt idx="0">
                  <c:v>Jamuna Cargo Movers</c:v>
                </c:pt>
                <c:pt idx="1">
                  <c:v>Karatoa Express</c:v>
                </c:pt>
                <c:pt idx="2">
                  <c:v>Meghna Transport Ltd.</c:v>
                </c:pt>
                <c:pt idx="3">
                  <c:v>Padma Freight Co.</c:v>
                </c:pt>
                <c:pt idx="4">
                  <c:v>RDM Carrier Service</c:v>
                </c:pt>
                <c:pt idx="5">
                  <c:v>Sundarban Logistics</c:v>
                </c:pt>
              </c:strCache>
            </c:strRef>
          </c:cat>
          <c:val>
            <c:numRef>
              <c:f>Analysis_4_Delay_vs_Cost!$I$3:$I$8</c:f>
              <c:numCache>
                <c:formatCode>0</c:formatCode>
                <c:ptCount val="6"/>
                <c:pt idx="0">
                  <c:v>493.72727272727275</c:v>
                </c:pt>
                <c:pt idx="1">
                  <c:v>452.62817551963047</c:v>
                </c:pt>
                <c:pt idx="2">
                  <c:v>387.72039473684208</c:v>
                </c:pt>
                <c:pt idx="3">
                  <c:v>330.11920529801324</c:v>
                </c:pt>
                <c:pt idx="4">
                  <c:v>399.59550561797755</c:v>
                </c:pt>
                <c:pt idx="5">
                  <c:v>486.62982832618025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6-4739-A562-42DBDEB219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602966208"/>
        <c:axId val="602968504"/>
      </c:barChart>
      <c:catAx>
        <c:axId val="6029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68504"/>
        <c:crosses val="autoZero"/>
        <c:auto val="1"/>
        <c:lblAlgn val="ctr"/>
        <c:lblOffset val="100"/>
        <c:noMultiLvlLbl val="0"/>
      </c:catAx>
      <c:valAx>
        <c:axId val="602968504"/>
        <c:scaling>
          <c:orientation val="minMax"/>
          <c:max val="550"/>
        </c:scaling>
        <c:delete val="1"/>
        <c:axPos val="l"/>
        <c:numFmt formatCode="0" sourceLinked="1"/>
        <c:majorTickMark val="out"/>
        <c:minorTickMark val="none"/>
        <c:tickLblPos val="nextTo"/>
        <c:crossAx val="60296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2">
          <a:lumMod val="50000"/>
          <a:alpha val="40000"/>
        </a:schemeClr>
      </a:glow>
      <a:outerShdw blurRad="50800" dist="38100" dir="2700000" algn="tl" rotWithShape="0">
        <a:schemeClr val="accent6">
          <a:lumMod val="50000"/>
          <a:alpha val="40000"/>
        </a:scheme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3</xdr:row>
      <xdr:rowOff>104775</xdr:rowOff>
    </xdr:from>
    <xdr:to>
      <xdr:col>13</xdr:col>
      <xdr:colOff>542925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400051</xdr:colOff>
      <xdr:row>22</xdr:row>
      <xdr:rowOff>0</xdr:rowOff>
    </xdr:from>
    <xdr:to>
      <xdr:col>5</xdr:col>
      <xdr:colOff>666751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</xdr:colOff>
      <xdr:row>1</xdr:row>
      <xdr:rowOff>0</xdr:rowOff>
    </xdr:from>
    <xdr:to>
      <xdr:col>19</xdr:col>
      <xdr:colOff>328612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9524</xdr:colOff>
      <xdr:row>22</xdr:row>
      <xdr:rowOff>0</xdr:rowOff>
    </xdr:from>
    <xdr:to>
      <xdr:col>19</xdr:col>
      <xdr:colOff>285749</xdr:colOff>
      <xdr:row>36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9</xdr:row>
      <xdr:rowOff>95250</xdr:rowOff>
    </xdr:from>
    <xdr:to>
      <xdr:col>10</xdr:col>
      <xdr:colOff>352425</xdr:colOff>
      <xdr:row>23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38100</xdr:rowOff>
    </xdr:from>
    <xdr:to>
      <xdr:col>14</xdr:col>
      <xdr:colOff>590550</xdr:colOff>
      <xdr:row>15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0</xdr:row>
      <xdr:rowOff>142875</xdr:rowOff>
    </xdr:from>
    <xdr:ext cx="184731" cy="264560"/>
    <xdr:sp macro="" textlink="">
      <xdr:nvSpPr>
        <xdr:cNvPr id="2" name="TextBox 1"/>
        <xdr:cNvSpPr txBox="1"/>
      </xdr:nvSpPr>
      <xdr:spPr>
        <a:xfrm>
          <a:off x="4705350" y="142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6</xdr:col>
      <xdr:colOff>431347</xdr:colOff>
      <xdr:row>0</xdr:row>
      <xdr:rowOff>81643</xdr:rowOff>
    </xdr:from>
    <xdr:to>
      <xdr:col>30</xdr:col>
      <xdr:colOff>163285</xdr:colOff>
      <xdr:row>3</xdr:row>
      <xdr:rowOff>35379</xdr:rowOff>
    </xdr:to>
    <xdr:sp macro="" textlink="">
      <xdr:nvSpPr>
        <xdr:cNvPr id="7169" name="Text Box 1"/>
        <xdr:cNvSpPr txBox="1">
          <a:spLocks noChangeArrowheads="1"/>
        </xdr:cNvSpPr>
      </xdr:nvSpPr>
      <xdr:spPr bwMode="auto">
        <a:xfrm>
          <a:off x="3316061" y="81643"/>
          <a:ext cx="11774260" cy="53884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ctr" rtl="0">
            <a:defRPr sz="1000"/>
          </a:pPr>
          <a:r>
            <a:rPr lang="en-US" sz="3200" b="1" i="0" u="none" strike="noStrike" baseline="0">
              <a:solidFill>
                <a:schemeClr val="accent6">
                  <a:lumMod val="50000"/>
                </a:schemeClr>
              </a:solidFill>
              <a:latin typeface="Calibri"/>
              <a:cs typeface="Calibri"/>
            </a:rPr>
            <a:t>Shohoz Express Ltd. — Logistics &amp; Delivery Performance Dashboard</a:t>
          </a:r>
        </a:p>
      </xdr:txBody>
    </xdr:sp>
    <xdr:clientData/>
  </xdr:twoCellAnchor>
  <xdr:oneCellAnchor>
    <xdr:from>
      <xdr:col>1</xdr:col>
      <xdr:colOff>9525</xdr:colOff>
      <xdr:row>4</xdr:row>
      <xdr:rowOff>9524</xdr:rowOff>
    </xdr:from>
    <xdr:ext cx="1819275" cy="548369"/>
    <xdr:sp macro="" textlink="">
      <xdr:nvSpPr>
        <xdr:cNvPr id="3" name="TextBox 2"/>
        <xdr:cNvSpPr txBox="1"/>
      </xdr:nvSpPr>
      <xdr:spPr>
        <a:xfrm>
          <a:off x="281668" y="689881"/>
          <a:ext cx="1819275" cy="548369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800" b="1"/>
            <a:t>Total Shipments</a:t>
          </a:r>
        </a:p>
      </xdr:txBody>
    </xdr:sp>
    <xdr:clientData/>
  </xdr:oneCellAnchor>
  <xdr:oneCellAnchor>
    <xdr:from>
      <xdr:col>1</xdr:col>
      <xdr:colOff>9524</xdr:colOff>
      <xdr:row>6</xdr:row>
      <xdr:rowOff>163285</xdr:rowOff>
    </xdr:from>
    <xdr:ext cx="1819275" cy="557893"/>
    <xdr:sp macro="" textlink="">
      <xdr:nvSpPr>
        <xdr:cNvPr id="4" name="TextBox 3"/>
        <xdr:cNvSpPr txBox="1"/>
      </xdr:nvSpPr>
      <xdr:spPr>
        <a:xfrm>
          <a:off x="281667" y="1224642"/>
          <a:ext cx="1819275" cy="557893"/>
        </a:xfrm>
        <a:prstGeom prst="rect">
          <a:avLst/>
        </a:prstGeom>
        <a:solidFill>
          <a:schemeClr val="accent5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400">
              <a:solidFill>
                <a:schemeClr val="bg1"/>
              </a:solidFill>
            </a:rPr>
            <a:t>5000</a:t>
          </a:r>
        </a:p>
      </xdr:txBody>
    </xdr:sp>
    <xdr:clientData/>
  </xdr:oneCellAnchor>
  <xdr:oneCellAnchor>
    <xdr:from>
      <xdr:col>0</xdr:col>
      <xdr:colOff>267606</xdr:colOff>
      <xdr:row>10</xdr:row>
      <xdr:rowOff>81644</xdr:rowOff>
    </xdr:from>
    <xdr:ext cx="1819275" cy="557892"/>
    <xdr:sp macro="" textlink="">
      <xdr:nvSpPr>
        <xdr:cNvPr id="6" name="TextBox 5"/>
        <xdr:cNvSpPr txBox="1"/>
      </xdr:nvSpPr>
      <xdr:spPr>
        <a:xfrm>
          <a:off x="267606" y="1877787"/>
          <a:ext cx="1819275" cy="557892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800" b="1"/>
            <a:t>Overall OTD Rate</a:t>
          </a:r>
        </a:p>
      </xdr:txBody>
    </xdr:sp>
    <xdr:clientData/>
  </xdr:oneCellAnchor>
  <xdr:oneCellAnchor>
    <xdr:from>
      <xdr:col>1</xdr:col>
      <xdr:colOff>1813</xdr:colOff>
      <xdr:row>13</xdr:row>
      <xdr:rowOff>13608</xdr:rowOff>
    </xdr:from>
    <xdr:ext cx="1807938" cy="462642"/>
    <xdr:sp macro="" textlink="">
      <xdr:nvSpPr>
        <xdr:cNvPr id="7" name="TextBox 6"/>
        <xdr:cNvSpPr txBox="1"/>
      </xdr:nvSpPr>
      <xdr:spPr>
        <a:xfrm>
          <a:off x="273956" y="2435679"/>
          <a:ext cx="1807938" cy="462642"/>
        </a:xfrm>
        <a:prstGeom prst="rect">
          <a:avLst/>
        </a:prstGeom>
        <a:solidFill>
          <a:schemeClr val="accent2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2400">
              <a:solidFill>
                <a:schemeClr val="bg1"/>
              </a:solidFill>
            </a:rPr>
            <a:t>54.52%</a:t>
          </a:r>
        </a:p>
      </xdr:txBody>
    </xdr:sp>
    <xdr:clientData/>
  </xdr:oneCellAnchor>
  <xdr:oneCellAnchor>
    <xdr:from>
      <xdr:col>5</xdr:col>
      <xdr:colOff>9525</xdr:colOff>
      <xdr:row>4</xdr:row>
      <xdr:rowOff>3293</xdr:rowOff>
    </xdr:from>
    <xdr:ext cx="2548618" cy="554600"/>
    <xdr:sp macro="" textlink="">
      <xdr:nvSpPr>
        <xdr:cNvPr id="8" name="TextBox 7"/>
        <xdr:cNvSpPr txBox="1"/>
      </xdr:nvSpPr>
      <xdr:spPr>
        <a:xfrm>
          <a:off x="2281918" y="683650"/>
          <a:ext cx="2548618" cy="554600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/>
            <a:t>Avg Delay (Late shipments)</a:t>
          </a:r>
        </a:p>
      </xdr:txBody>
    </xdr:sp>
    <xdr:clientData/>
  </xdr:oneCellAnchor>
  <xdr:oneCellAnchor>
    <xdr:from>
      <xdr:col>5</xdr:col>
      <xdr:colOff>12923</xdr:colOff>
      <xdr:row>7</xdr:row>
      <xdr:rowOff>0</xdr:rowOff>
    </xdr:from>
    <xdr:ext cx="2545219" cy="530678"/>
    <xdr:sp macro="" textlink="">
      <xdr:nvSpPr>
        <xdr:cNvPr id="9" name="TextBox 8"/>
        <xdr:cNvSpPr txBox="1"/>
      </xdr:nvSpPr>
      <xdr:spPr>
        <a:xfrm>
          <a:off x="2285316" y="1251857"/>
          <a:ext cx="2545219" cy="530678"/>
        </a:xfrm>
        <a:prstGeom prst="rect">
          <a:avLst/>
        </a:prstGeom>
        <a:solidFill>
          <a:schemeClr val="accent2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2400">
              <a:solidFill>
                <a:schemeClr val="bg1"/>
              </a:solidFill>
            </a:rPr>
            <a:t>3.51 days</a:t>
          </a:r>
        </a:p>
      </xdr:txBody>
    </xdr:sp>
    <xdr:clientData/>
  </xdr:oneCellAnchor>
  <xdr:oneCellAnchor>
    <xdr:from>
      <xdr:col>5</xdr:col>
      <xdr:colOff>9945</xdr:colOff>
      <xdr:row>10</xdr:row>
      <xdr:rowOff>95250</xdr:rowOff>
    </xdr:from>
    <xdr:ext cx="2548197" cy="530677"/>
    <xdr:sp macro="" textlink="">
      <xdr:nvSpPr>
        <xdr:cNvPr id="10" name="TextBox 9"/>
        <xdr:cNvSpPr txBox="1"/>
      </xdr:nvSpPr>
      <xdr:spPr>
        <a:xfrm>
          <a:off x="2282338" y="1891393"/>
          <a:ext cx="2548197" cy="530677"/>
        </a:xfrm>
        <a:prstGeom prst="rect">
          <a:avLst/>
        </a:prstGeom>
        <a:noFill/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800" b="1"/>
            <a:t>Avg Shipment Cost</a:t>
          </a:r>
        </a:p>
      </xdr:txBody>
    </xdr:sp>
    <xdr:clientData/>
  </xdr:oneCellAnchor>
  <xdr:oneCellAnchor>
    <xdr:from>
      <xdr:col>5</xdr:col>
      <xdr:colOff>9944</xdr:colOff>
      <xdr:row>13</xdr:row>
      <xdr:rowOff>0</xdr:rowOff>
    </xdr:from>
    <xdr:ext cx="2548199" cy="476249"/>
    <xdr:sp macro="" textlink="">
      <xdr:nvSpPr>
        <xdr:cNvPr id="11" name="TextBox 10"/>
        <xdr:cNvSpPr txBox="1"/>
      </xdr:nvSpPr>
      <xdr:spPr>
        <a:xfrm>
          <a:off x="2282337" y="2435679"/>
          <a:ext cx="2548199" cy="476249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US" sz="2400">
              <a:solidFill>
                <a:schemeClr val="bg1"/>
              </a:solidFill>
            </a:rPr>
            <a:t>427.68 BDT</a:t>
          </a:r>
        </a:p>
      </xdr:txBody>
    </xdr:sp>
    <xdr:clientData/>
  </xdr:oneCellAnchor>
  <xdr:twoCellAnchor>
    <xdr:from>
      <xdr:col>11</xdr:col>
      <xdr:colOff>33274</xdr:colOff>
      <xdr:row>4</xdr:row>
      <xdr:rowOff>13608</xdr:rowOff>
    </xdr:from>
    <xdr:to>
      <xdr:col>26</xdr:col>
      <xdr:colOff>598714</xdr:colOff>
      <xdr:row>18</xdr:row>
      <xdr:rowOff>136072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3082</xdr:colOff>
      <xdr:row>19</xdr:row>
      <xdr:rowOff>108856</xdr:rowOff>
    </xdr:from>
    <xdr:to>
      <xdr:col>26</xdr:col>
      <xdr:colOff>612320</xdr:colOff>
      <xdr:row>34</xdr:row>
      <xdr:rowOff>176892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13608</xdr:colOff>
      <xdr:row>19</xdr:row>
      <xdr:rowOff>95249</xdr:rowOff>
    </xdr:from>
    <xdr:to>
      <xdr:col>19</xdr:col>
      <xdr:colOff>272143</xdr:colOff>
      <xdr:row>34</xdr:row>
      <xdr:rowOff>190499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30091</xdr:colOff>
      <xdr:row>4</xdr:row>
      <xdr:rowOff>24422</xdr:rowOff>
    </xdr:from>
    <xdr:to>
      <xdr:col>34</xdr:col>
      <xdr:colOff>462641</xdr:colOff>
      <xdr:row>34</xdr:row>
      <xdr:rowOff>176892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258536</xdr:colOff>
      <xdr:row>17</xdr:row>
      <xdr:rowOff>27214</xdr:rowOff>
    </xdr:from>
    <xdr:to>
      <xdr:col>10</xdr:col>
      <xdr:colOff>0</xdr:colOff>
      <xdr:row>34</xdr:row>
      <xdr:rowOff>163286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SUBORNA" refreshedDate="46209.263695833331" backgroundQuery="1" createdVersion="6" refreshedVersion="6" minRefreshableVersion="3" recordCount="0" supportSubquery="1" supportAdvancedDrill="1">
  <cacheSource type="external" connectionId="4"/>
  <cacheFields count="4">
    <cacheField name="[Shipments].[Order_Date (Month)].[Order_Date (Month)]" caption="Order_Date (Month)" numFmtId="0" hierarchy="27" level="1">
      <sharedItems count="12">
        <s v="Jul"/>
        <s v="Aug"/>
        <s v="Sep"/>
        <s v="Oct"/>
        <s v="Nov"/>
        <s v="Dec"/>
        <s v="Jan"/>
        <s v="Feb"/>
        <s v="Mar"/>
        <s v="Apr"/>
        <s v="May"/>
        <s v="Jun"/>
      </sharedItems>
    </cacheField>
    <cacheField name="[Shipments].[Order_Date (Year)].[Order_Date (Year)]" caption="Order_Date (Year)" numFmtId="0" hierarchy="25" level="1">
      <sharedItems count="2">
        <s v="2025"/>
        <s v="2026"/>
      </sharedItems>
    </cacheField>
    <cacheField name="[Shipments].[OTD_Flag].[OTD_Flag]" caption="OTD_Flag" numFmtId="0" hierarchy="22" level="1">
      <sharedItems containsBlank="1" count="3">
        <s v="Late"/>
        <s v="On Time"/>
        <m u="1"/>
      </sharedItems>
    </cacheField>
    <cacheField name="[Measures].[Count of Shipment_ID]" caption="Count of Shipment_ID" numFmtId="0" hierarchy="29" level="32767"/>
  </cacheFields>
  <cacheHierarchies count="40">
    <cacheHierarchy uniqueName="[Carriers].[Carrier_ID]" caption="Carrier_ID" attribute="1" defaultMemberUniqueName="[Carriers].[Carrier_ID].[All]" allUniqueName="[Carriers].[Carrier_ID].[All]" dimensionUniqueName="[Carriers]" displayFolder="" count="0" memberValueDatatype="130" unbalanced="0"/>
    <cacheHierarchy uniqueName="[Carriers].[Carrier_Name]" caption="Carrier_Name" attribute="1" defaultMemberUniqueName="[Carriers].[Carrier_Name].[All]" allUniqueName="[Carriers].[Carrier_Name].[All]" dimensionUniqueName="[Carriers]" displayFolder="" count="0" memberValueDatatype="130" unbalanced="0"/>
    <cacheHierarchy uniqueName="[Carriers].[Vehicle_Type]" caption="Vehicle_Type" attribute="1" defaultMemberUniqueName="[Carriers].[Vehicle_Type].[All]" allUniqueName="[Carriers].[Vehicle_Type].[All]" dimensionUniqueName="[Carriers]" displayFolder="" count="0" memberValueDatatype="130" unbalanced="0"/>
    <cacheHierarchy uniqueName="[Carriers].[Base_Rate_per_KM]" caption="Base_Rate_per_KM" attribute="1" defaultMemberUniqueName="[Carriers].[Base_Rate_per_KM].[All]" allUniqueName="[Carriers].[Base_Rate_per_KM].[All]" dimensionUniqueName="[Carriers]" displayFolder="" count="0" memberValueDatatype="5" unbalanced="0"/>
    <cacheHierarchy uniqueName="[Carriers].[Contract_Start_Date]" caption="Contract_Start_Date" attribute="1" time="1" defaultMemberUniqueName="[Carriers].[Contract_Start_Date].[All]" allUniqueName="[Carriers].[Contract_Start_Date].[All]" dimensionUniqueName="[Carriers]" displayFolder="" count="0" memberValueDatatype="7" unbalanced="0"/>
    <cacheHierarchy uniqueName="[Routes].[Route_ID]" caption="Route_ID" attribute="1" defaultMemberUniqueName="[Routes].[Route_ID].[All]" allUniqueName="[Routes].[Route_ID].[All]" dimensionUniqueName="[Routes]" displayFolder="" count="0" memberValueDatatype="2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Routes].[Region_Name]" caption="Region_Name" attribute="1" defaultMemberUniqueName="[Routes].[Region_Name].[All]" allUniqueName="[Routes].[Region_Name].[All]" dimensionUniqueName="[Routes]" displayFolder="" count="0" memberValueDatatype="130" unbalanced="0"/>
    <cacheHierarchy uniqueName="[Routes].[Zone]" caption="Zone" attribute="1" defaultMemberUniqueName="[Routes].[Zone].[All]" allUniqueName="[Routes].[Zone].[All]" dimensionUniqueName="[Routes]" displayFolder="" count="0" memberValueDatatype="130" unbalanced="0"/>
    <cacheHierarchy uniqueName="[Routes].[Avg_Route_Distance_KM]" caption="Avg_Route_Distance_KM" attribute="1" defaultMemberUniqueName="[Routes].[Avg_Route_Distance_KM].[All]" allUniqueName="[Routes].[Avg_Route_Distance_KM].[All]" dimensionUniqueName="[Routes]" displayFolder="" count="0" memberValueDatatype="2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Order_Date]" caption="Order_Date" attribute="1" time="1" defaultMemberUniqueName="[Shipments].[Order_Date].[All]" allUniqueName="[Shipments].[Order_Date].[All]" dimensionUniqueName="[Shipments]" displayFolder="" count="0" memberValueDatatype="7" unbalanced="0"/>
    <cacheHierarchy uniqueName="[Shipments].[Promised_Delivery_Date]" caption="Promised_Delivery_Date" attribute="1" time="1" defaultMemberUniqueName="[Shipments].[Promised_Delivery_Date].[All]" allUniqueName="[Shipments].[Promised_Delivery_Date].[All]" dimensionUniqueName="[Shipments]" displayFolder="" count="0" memberValueDatatype="7" unbalanced="0"/>
    <cacheHierarchy uniqueName="[Shipments].[Actual_Delivery_Date]" caption="Actual_Delivery_Date" attribute="1" time="1" defaultMemberUniqueName="[Shipments].[Actual_Delivery_Date].[All]" allUniqueName="[Shipments].[Actual_Delivery_Date].[All]" dimensionUniqueName="[Shipments]" displayFolder="" count="0" memberValueDatatype="7" unbalanced="0"/>
    <cacheHierarchy uniqueName="[Shipments].[Carrier_ID]" caption="Carrier_ID" attribute="1" defaultMemberUniqueName="[Shipments].[Carrier_ID].[All]" allUniqueName="[Shipments].[Carrier_ID].[All]" dimensionUniqueName="[Shipments]" displayFolder="" count="0" memberValueDatatype="130" unbalanced="0"/>
    <cacheHierarchy uniqueName="[Shipments].[Route_ID]" caption="Route_ID" attribute="1" defaultMemberUniqueName="[Shipments].[Route_ID].[All]" allUniqueName="[Shipments].[Route_ID].[All]" dimensionUniqueName="[Shipments]" displayFolder="" count="0" memberValueDatatype="20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5" unbalanced="0"/>
    <cacheHierarchy uniqueName="[Shipments].[Shipment_Cost]" caption="Shipment_Cost" attribute="1" defaultMemberUniqueName="[Shipments].[Shipment_Cost].[All]" allUniqueName="[Shipments].[Shipment_Cost].[All]" dimensionUniqueName="[Shipments]" displayFolder="" count="0" memberValueDatatype="5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ay_Reason]" caption="Delay_Reason" attribute="1" defaultMemberUniqueName="[Shipments].[Delay_Reason].[All]" allUniqueName="[Shipments].[Delay_Reason].[All]" dimensionUniqueName="[Shipments]" displayFolder="" count="0" memberValueDatatype="130" unbalanced="0"/>
    <cacheHierarchy uniqueName="[Shipments].[Delay_Days]" caption="Delay_Days" attribute="1" defaultMemberUniqueName="[Shipments].[Delay_Days].[All]" allUniqueName="[Shipments].[Delay_Days].[All]" dimensionUniqueName="[Shipments]" displayFolder="" count="0" memberValueDatatype="20" unbalanced="0"/>
    <cacheHierarchy uniqueName="[Shipments].[OTD_Flag]" caption="OTD_Flag" attribute="1" defaultMemberUniqueName="[Shipments].[OTD_Flag].[All]" allUniqueName="[Shipments].[OTD_Flag].[All]" dimensionUniqueName="[Shipments]" displayFolder="" count="2" memberValueDatatype="130" unbalanced="0">
      <fieldsUsage count="2">
        <fieldUsage x="-1"/>
        <fieldUsage x="2"/>
      </fieldsUsage>
    </cacheHierarchy>
    <cacheHierarchy uniqueName="[Shipments].[Cost_per_KM]" caption="Cost_per_KM" attribute="1" defaultMemberUniqueName="[Shipments].[Cost_per_KM].[All]" allUniqueName="[Shipments].[Cost_per_KM].[All]" dimensionUniqueName="[Shipments]" displayFolder="" count="0" memberValueDatatype="5" unbalanced="0"/>
    <cacheHierarchy uniqueName="[Shipments].[Order_DayOfWeek]" caption="Order_DayOfWeek" attribute="1" defaultMemberUniqueName="[Shipments].[Order_DayOfWeek].[All]" allUniqueName="[Shipments].[Order_DayOfWeek].[All]" dimensionUniqueName="[Shipments]" displayFolder="" count="0" memberValueDatatype="130" unbalanced="0"/>
    <cacheHierarchy uniqueName="[Shipments].[Order_Date (Year)]" caption="Order_Date (Year)" attribute="1" defaultMemberUniqueName="[Shipments].[Order_Date (Year)].[All]" allUniqueName="[Shipments].[Order_Date (Year)].[All]" dimensionUniqueName="[Shipments]" displayFolder="" count="2" memberValueDatatype="130" unbalanced="0">
      <fieldsUsage count="2">
        <fieldUsage x="-1"/>
        <fieldUsage x="1"/>
      </fieldsUsage>
    </cacheHierarchy>
    <cacheHierarchy uniqueName="[Shipments].[Order_Date (Quarter)]" caption="Order_Date (Quarter)" attribute="1" defaultMemberUniqueName="[Shipments].[Order_Date (Quarter)].[All]" allUniqueName="[Shipments].[Order_Date (Quarter)].[All]" dimensionUniqueName="[Shipments]" displayFolder="" count="0" memberValueDatatype="130" unbalanced="0"/>
    <cacheHierarchy uniqueName="[Shipments].[Order_Date (Month)]" caption="Order_Date (Month)" attribute="1" defaultMemberUniqueName="[Shipments].[Order_Date (Month)].[All]" allUniqueName="[Shipments].[Order_Date (Month)].[All]" dimensionUniqueName="[Shipments]" displayFolder="" count="2" memberValueDatatype="130" unbalanced="0">
      <fieldsUsage count="2">
        <fieldUsage x="-1"/>
        <fieldUsage x="0"/>
      </fieldsUsage>
    </cacheHierarchy>
    <cacheHierarchy uniqueName="[Shipments].[Order_Date (Month Index)]" caption="Order_Date (Month Index)" attribute="1" defaultMemberUniqueName="[Shipments].[Order_Date (Month Index)].[All]" allUniqueName="[Shipments].[Order_Date (Month Index)].[All]" dimensionUniqueName="[Shipments]" displayFolder="" count="0" memberValueDatatype="20" unbalanced="0" hidden="1"/>
    <cacheHierarchy uniqueName="[Measures].[Count of Shipment_ID]" caption="Count of Shipment_ID" measure="1" displayFolder="" measureGroup="Shipment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TD_Flag]" caption="Count of OTD_Flag" measure="1" displayFolder="" measureGroup="Shipmen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hipment_Cost]" caption="Sum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ment_Cost]" caption="Average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Delay_Days]" caption="Sum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elay_Days]" caption="Average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Late %]" caption="Late %" measure="1" displayFolder="" measureGroup="Shipments" count="0"/>
    <cacheHierarchy uniqueName="[Measures].[__XL_Count Shipments]" caption="__XL_Count Shipments" measure="1" displayFolder="" measureGroup="Shipments" count="0" hidden="1"/>
    <cacheHierarchy uniqueName="[Measures].[__XL_Count Routes]" caption="__XL_Count Routes" measure="1" displayFolder="" measureGroup="Routes" count="0" hidden="1"/>
    <cacheHierarchy uniqueName="[Measures].[__XL_Count Carriers]" caption="__XL_Count Carriers" measure="1" displayFolder="" measureGroup="Carriers" count="0" hidden="1"/>
    <cacheHierarchy uniqueName="[Measures].[__No measures defined]" caption="__No measures defined" measure="1" displayFolder="" count="0" hidden="1"/>
  </cacheHierarchies>
  <kpis count="0"/>
  <dimensions count="4">
    <dimension name="Carriers" uniqueName="[Carriers]" caption="Carriers"/>
    <dimension measure="1" name="Measures" uniqueName="[Measures]" caption="Measures"/>
    <dimension name="Routes" uniqueName="[Routes]" caption="Routes"/>
    <dimension name="Shipments" uniqueName="[Shipments]" caption="Shipments"/>
  </dimensions>
  <measureGroups count="3">
    <measureGroup name="Carriers" caption="Carriers"/>
    <measureGroup name="Routes" caption="Routes"/>
    <measureGroup name="Shipments" caption="Shipment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UBORNA" refreshedDate="46209.263697453702" backgroundQuery="1" createdVersion="6" refreshedVersion="6" minRefreshableVersion="3" recordCount="0" supportSubquery="1" supportAdvancedDrill="1">
  <cacheSource type="external" connectionId="4"/>
  <cacheFields count="6">
    <cacheField name="[Carriers].[Carrier_Name].[Carrier_Name]" caption="Carrier_Name" numFmtId="0" hierarchy="1" level="1">
      <sharedItems count="6">
        <s v="Jamuna Cargo Movers"/>
        <s v="Karatoa Express"/>
        <s v="Meghna Transport Ltd."/>
        <s v="Padma Freight Co."/>
        <s v="RDM Carrier Service"/>
        <s v="Sundarban Logistics"/>
      </sharedItems>
    </cacheField>
    <cacheField name="[Measures].[Count of Shipment_ID]" caption="Count of Shipment_ID" numFmtId="0" hierarchy="29" level="32767"/>
    <cacheField name="[Measures].[Average of Delay_Days]" caption="Average of Delay_Days" numFmtId="0" hierarchy="34" level="32767"/>
    <cacheField name="[Measures].[Average of Shipment_Cost]" caption="Average of Shipment_Cost" numFmtId="0" hierarchy="32" level="32767"/>
    <cacheField name="[Shipments].[OTD_Flag].[OTD_Flag]" caption="OTD_Flag" numFmtId="0" hierarchy="22" level="1">
      <sharedItems count="2">
        <s v="Late"/>
        <s v="On Time"/>
      </sharedItems>
    </cacheField>
    <cacheField name="[Measures].[Count of OTD_Flag]" caption="Count of OTD_Flag" numFmtId="0" hierarchy="30" level="32767"/>
  </cacheFields>
  <cacheHierarchies count="40">
    <cacheHierarchy uniqueName="[Carriers].[Carrier_ID]" caption="Carrier_ID" attribute="1" defaultMemberUniqueName="[Carriers].[Carrier_ID].[All]" allUniqueName="[Carriers].[Carrier_ID].[All]" dimensionUniqueName="[Carriers]" displayFolder="" count="0" memberValueDatatype="130" unbalanced="0"/>
    <cacheHierarchy uniqueName="[Carriers].[Carrier_Name]" caption="Carrier_Name" attribute="1" defaultMemberUniqueName="[Carriers].[Carrier_Name].[All]" allUniqueName="[Carriers].[Carrier_Name].[All]" dimensionUniqueName="[Carriers]" displayFolder="" count="2" memberValueDatatype="130" unbalanced="0">
      <fieldsUsage count="2">
        <fieldUsage x="-1"/>
        <fieldUsage x="0"/>
      </fieldsUsage>
    </cacheHierarchy>
    <cacheHierarchy uniqueName="[Carriers].[Vehicle_Type]" caption="Vehicle_Type" attribute="1" defaultMemberUniqueName="[Carriers].[Vehicle_Type].[All]" allUniqueName="[Carriers].[Vehicle_Type].[All]" dimensionUniqueName="[Carriers]" displayFolder="" count="0" memberValueDatatype="130" unbalanced="0"/>
    <cacheHierarchy uniqueName="[Carriers].[Base_Rate_per_KM]" caption="Base_Rate_per_KM" attribute="1" defaultMemberUniqueName="[Carriers].[Base_Rate_per_KM].[All]" allUniqueName="[Carriers].[Base_Rate_per_KM].[All]" dimensionUniqueName="[Carriers]" displayFolder="" count="0" memberValueDatatype="5" unbalanced="0"/>
    <cacheHierarchy uniqueName="[Carriers].[Contract_Start_Date]" caption="Contract_Start_Date" attribute="1" time="1" defaultMemberUniqueName="[Carriers].[Contract_Start_Date].[All]" allUniqueName="[Carriers].[Contract_Start_Date].[All]" dimensionUniqueName="[Carriers]" displayFolder="" count="0" memberValueDatatype="7" unbalanced="0"/>
    <cacheHierarchy uniqueName="[Routes].[Route_ID]" caption="Route_ID" attribute="1" defaultMemberUniqueName="[Routes].[Route_ID].[All]" allUniqueName="[Routes].[Route_ID].[All]" dimensionUniqueName="[Routes]" displayFolder="" count="0" memberValueDatatype="2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Routes].[Region_Name]" caption="Region_Name" attribute="1" defaultMemberUniqueName="[Routes].[Region_Name].[All]" allUniqueName="[Routes].[Region_Name].[All]" dimensionUniqueName="[Routes]" displayFolder="" count="0" memberValueDatatype="130" unbalanced="0"/>
    <cacheHierarchy uniqueName="[Routes].[Zone]" caption="Zone" attribute="1" defaultMemberUniqueName="[Routes].[Zone].[All]" allUniqueName="[Routes].[Zone].[All]" dimensionUniqueName="[Routes]" displayFolder="" count="0" memberValueDatatype="130" unbalanced="0"/>
    <cacheHierarchy uniqueName="[Routes].[Avg_Route_Distance_KM]" caption="Avg_Route_Distance_KM" attribute="1" defaultMemberUniqueName="[Routes].[Avg_Route_Distance_KM].[All]" allUniqueName="[Routes].[Avg_Route_Distance_KM].[All]" dimensionUniqueName="[Routes]" displayFolder="" count="0" memberValueDatatype="2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Order_Date]" caption="Order_Date" attribute="1" time="1" defaultMemberUniqueName="[Shipments].[Order_Date].[All]" allUniqueName="[Shipments].[Order_Date].[All]" dimensionUniqueName="[Shipments]" displayFolder="" count="0" memberValueDatatype="7" unbalanced="0"/>
    <cacheHierarchy uniqueName="[Shipments].[Promised_Delivery_Date]" caption="Promised_Delivery_Date" attribute="1" time="1" defaultMemberUniqueName="[Shipments].[Promised_Delivery_Date].[All]" allUniqueName="[Shipments].[Promised_Delivery_Date].[All]" dimensionUniqueName="[Shipments]" displayFolder="" count="0" memberValueDatatype="7" unbalanced="0"/>
    <cacheHierarchy uniqueName="[Shipments].[Actual_Delivery_Date]" caption="Actual_Delivery_Date" attribute="1" time="1" defaultMemberUniqueName="[Shipments].[Actual_Delivery_Date].[All]" allUniqueName="[Shipments].[Actual_Delivery_Date].[All]" dimensionUniqueName="[Shipments]" displayFolder="" count="0" memberValueDatatype="7" unbalanced="0"/>
    <cacheHierarchy uniqueName="[Shipments].[Carrier_ID]" caption="Carrier_ID" attribute="1" defaultMemberUniqueName="[Shipments].[Carrier_ID].[All]" allUniqueName="[Shipments].[Carrier_ID].[All]" dimensionUniqueName="[Shipments]" displayFolder="" count="0" memberValueDatatype="130" unbalanced="0"/>
    <cacheHierarchy uniqueName="[Shipments].[Route_ID]" caption="Route_ID" attribute="1" defaultMemberUniqueName="[Shipments].[Route_ID].[All]" allUniqueName="[Shipments].[Route_ID].[All]" dimensionUniqueName="[Shipments]" displayFolder="" count="0" memberValueDatatype="20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5" unbalanced="0"/>
    <cacheHierarchy uniqueName="[Shipments].[Shipment_Cost]" caption="Shipment_Cost" attribute="1" defaultMemberUniqueName="[Shipments].[Shipment_Cost].[All]" allUniqueName="[Shipments].[Shipment_Cost].[All]" dimensionUniqueName="[Shipments]" displayFolder="" count="0" memberValueDatatype="5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ay_Reason]" caption="Delay_Reason" attribute="1" defaultMemberUniqueName="[Shipments].[Delay_Reason].[All]" allUniqueName="[Shipments].[Delay_Reason].[All]" dimensionUniqueName="[Shipments]" displayFolder="" count="0" memberValueDatatype="130" unbalanced="0"/>
    <cacheHierarchy uniqueName="[Shipments].[Delay_Days]" caption="Delay_Days" attribute="1" defaultMemberUniqueName="[Shipments].[Delay_Days].[All]" allUniqueName="[Shipments].[Delay_Days].[All]" dimensionUniqueName="[Shipments]" displayFolder="" count="0" memberValueDatatype="20" unbalanced="0"/>
    <cacheHierarchy uniqueName="[Shipments].[OTD_Flag]" caption="OTD_Flag" attribute="1" defaultMemberUniqueName="[Shipments].[OTD_Flag].[All]" allUniqueName="[Shipments].[OTD_Flag].[All]" dimensionUniqueName="[Shipments]" displayFolder="" count="2" memberValueDatatype="130" unbalanced="0">
      <fieldsUsage count="2">
        <fieldUsage x="-1"/>
        <fieldUsage x="4"/>
      </fieldsUsage>
    </cacheHierarchy>
    <cacheHierarchy uniqueName="[Shipments].[Cost_per_KM]" caption="Cost_per_KM" attribute="1" defaultMemberUniqueName="[Shipments].[Cost_per_KM].[All]" allUniqueName="[Shipments].[Cost_per_KM].[All]" dimensionUniqueName="[Shipments]" displayFolder="" count="0" memberValueDatatype="5" unbalanced="0"/>
    <cacheHierarchy uniqueName="[Shipments].[Order_DayOfWeek]" caption="Order_DayOfWeek" attribute="1" defaultMemberUniqueName="[Shipments].[Order_DayOfWeek].[All]" allUniqueName="[Shipments].[Order_DayOfWeek].[All]" dimensionUniqueName="[Shipments]" displayFolder="" count="0" memberValueDatatype="130" unbalanced="0"/>
    <cacheHierarchy uniqueName="[Shipments].[Order_Date (Year)]" caption="Order_Date (Year)" attribute="1" defaultMemberUniqueName="[Shipments].[Order_Date (Year)].[All]" allUniqueName="[Shipments].[Order_Date (Year)].[All]" dimensionUniqueName="[Shipments]" displayFolder="" count="0" memberValueDatatype="130" unbalanced="0"/>
    <cacheHierarchy uniqueName="[Shipments].[Order_Date (Quarter)]" caption="Order_Date (Quarter)" attribute="1" defaultMemberUniqueName="[Shipments].[Order_Date (Quarter)].[All]" allUniqueName="[Shipments].[Order_Date (Quarter)].[All]" dimensionUniqueName="[Shipments]" displayFolder="" count="0" memberValueDatatype="130" unbalanced="0"/>
    <cacheHierarchy uniqueName="[Shipments].[Order_Date (Month)]" caption="Order_Date (Month)" attribute="1" defaultMemberUniqueName="[Shipments].[Order_Date (Month)].[All]" allUniqueName="[Shipments].[Order_Date (Month)].[All]" dimensionUniqueName="[Shipments]" displayFolder="" count="0" memberValueDatatype="130" unbalanced="0"/>
    <cacheHierarchy uniqueName="[Shipments].[Order_Date (Month Index)]" caption="Order_Date (Month Index)" attribute="1" defaultMemberUniqueName="[Shipments].[Order_Date (Month Index)].[All]" allUniqueName="[Shipments].[Order_Date (Month Index)].[All]" dimensionUniqueName="[Shipments]" displayFolder="" count="0" memberValueDatatype="20" unbalanced="0" hidden="1"/>
    <cacheHierarchy uniqueName="[Measures].[Count of Shipment_ID]" caption="Count of Shipment_ID" measure="1" displayFolder="" measureGroup="Shipment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TD_Flag]" caption="Count of OTD_Flag" measure="1" displayFolder="" measureGroup="Shipments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hipment_Cost]" caption="Sum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ment_Cost]" caption="Average of Shipment_Cost" measure="1" displayFolder="" measureGroup="Shipment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Delay_Days]" caption="Sum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elay_Days]" caption="Average of Delay_Days" measure="1" displayFolder="" measureGroup="Shipmen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Late %]" caption="Late %" measure="1" displayFolder="" measureGroup="Shipments" count="0"/>
    <cacheHierarchy uniqueName="[Measures].[__XL_Count Shipments]" caption="__XL_Count Shipments" measure="1" displayFolder="" measureGroup="Shipments" count="0" hidden="1"/>
    <cacheHierarchy uniqueName="[Measures].[__XL_Count Routes]" caption="__XL_Count Routes" measure="1" displayFolder="" measureGroup="Routes" count="0" hidden="1"/>
    <cacheHierarchy uniqueName="[Measures].[__XL_Count Carriers]" caption="__XL_Count Carriers" measure="1" displayFolder="" measureGroup="Carriers" count="0" hidden="1"/>
    <cacheHierarchy uniqueName="[Measures].[__No measures defined]" caption="__No measures defined" measure="1" displayFolder="" count="0" hidden="1"/>
  </cacheHierarchies>
  <kpis count="0"/>
  <dimensions count="4">
    <dimension name="Carriers" uniqueName="[Carriers]" caption="Carriers"/>
    <dimension measure="1" name="Measures" uniqueName="[Measures]" caption="Measures"/>
    <dimension name="Routes" uniqueName="[Routes]" caption="Routes"/>
    <dimension name="Shipments" uniqueName="[Shipments]" caption="Shipments"/>
  </dimensions>
  <measureGroups count="3">
    <measureGroup name="Carriers" caption="Carriers"/>
    <measureGroup name="Routes" caption="Routes"/>
    <measureGroup name="Shipments" caption="Shipment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SUBORNA" refreshedDate="46209.263698726849" backgroundQuery="1" createdVersion="6" refreshedVersion="6" minRefreshableVersion="3" recordCount="0" supportSubquery="1" supportAdvancedDrill="1">
  <cacheSource type="external" connectionId="4"/>
  <cacheFields count="4">
    <cacheField name="[Routes].[Region_Name].[Region_Name]" caption="Region_Name" numFmtId="0" hierarchy="7" level="1">
      <sharedItems count="5">
        <s v="Chittagong"/>
        <s v="Dhaka"/>
        <s v="Khulna"/>
        <s v="Rajshahi"/>
        <s v="Sylhet"/>
      </sharedItems>
    </cacheField>
    <cacheField name="[Measures].[Count of Shipment_ID]" caption="Count of Shipment_ID" numFmtId="0" hierarchy="29" level="32767"/>
    <cacheField name="[Measures].[Average of Delay_Days]" caption="Average of Delay_Days" numFmtId="0" hierarchy="34" level="32767"/>
    <cacheField name="[Shipments].[OTD_Flag].[OTD_Flag]" caption="OTD_Flag" numFmtId="0" hierarchy="22" level="1">
      <sharedItems count="1">
        <s v="Late"/>
      </sharedItems>
    </cacheField>
  </cacheFields>
  <cacheHierarchies count="40">
    <cacheHierarchy uniqueName="[Carriers].[Carrier_ID]" caption="Carrier_ID" attribute="1" defaultMemberUniqueName="[Carriers].[Carrier_ID].[All]" allUniqueName="[Carriers].[Carrier_ID].[All]" dimensionUniqueName="[Carriers]" displayFolder="" count="0" memberValueDatatype="130" unbalanced="0"/>
    <cacheHierarchy uniqueName="[Carriers].[Carrier_Name]" caption="Carrier_Name" attribute="1" defaultMemberUniqueName="[Carriers].[Carrier_Name].[All]" allUniqueName="[Carriers].[Carrier_Name].[All]" dimensionUniqueName="[Carriers]" displayFolder="" count="0" memberValueDatatype="130" unbalanced="0"/>
    <cacheHierarchy uniqueName="[Carriers].[Vehicle_Type]" caption="Vehicle_Type" attribute="1" defaultMemberUniqueName="[Carriers].[Vehicle_Type].[All]" allUniqueName="[Carriers].[Vehicle_Type].[All]" dimensionUniqueName="[Carriers]" displayFolder="" count="0" memberValueDatatype="130" unbalanced="0"/>
    <cacheHierarchy uniqueName="[Carriers].[Base_Rate_per_KM]" caption="Base_Rate_per_KM" attribute="1" defaultMemberUniqueName="[Carriers].[Base_Rate_per_KM].[All]" allUniqueName="[Carriers].[Base_Rate_per_KM].[All]" dimensionUniqueName="[Carriers]" displayFolder="" count="0" memberValueDatatype="5" unbalanced="0"/>
    <cacheHierarchy uniqueName="[Carriers].[Contract_Start_Date]" caption="Contract_Start_Date" attribute="1" time="1" defaultMemberUniqueName="[Carriers].[Contract_Start_Date].[All]" allUniqueName="[Carriers].[Contract_Start_Date].[All]" dimensionUniqueName="[Carriers]" displayFolder="" count="0" memberValueDatatype="7" unbalanced="0"/>
    <cacheHierarchy uniqueName="[Routes].[Route_ID]" caption="Route_ID" attribute="1" defaultMemberUniqueName="[Routes].[Route_ID].[All]" allUniqueName="[Routes].[Route_ID].[All]" dimensionUniqueName="[Routes]" displayFolder="" count="0" memberValueDatatype="2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Routes].[Region_Name]" caption="Region_Name" attribute="1" defaultMemberUniqueName="[Routes].[Region_Name].[All]" allUniqueName="[Routes].[Region_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Zone]" caption="Zone" attribute="1" defaultMemberUniqueName="[Routes].[Zone].[All]" allUniqueName="[Routes].[Zone].[All]" dimensionUniqueName="[Routes]" displayFolder="" count="0" memberValueDatatype="130" unbalanced="0"/>
    <cacheHierarchy uniqueName="[Routes].[Avg_Route_Distance_KM]" caption="Avg_Route_Distance_KM" attribute="1" defaultMemberUniqueName="[Routes].[Avg_Route_Distance_KM].[All]" allUniqueName="[Routes].[Avg_Route_Distance_KM].[All]" dimensionUniqueName="[Routes]" displayFolder="" count="0" memberValueDatatype="2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Order_Date]" caption="Order_Date" attribute="1" time="1" defaultMemberUniqueName="[Shipments].[Order_Date].[All]" allUniqueName="[Shipments].[Order_Date].[All]" dimensionUniqueName="[Shipments]" displayFolder="" count="0" memberValueDatatype="7" unbalanced="0"/>
    <cacheHierarchy uniqueName="[Shipments].[Promised_Delivery_Date]" caption="Promised_Delivery_Date" attribute="1" time="1" defaultMemberUniqueName="[Shipments].[Promised_Delivery_Date].[All]" allUniqueName="[Shipments].[Promised_Delivery_Date].[All]" dimensionUniqueName="[Shipments]" displayFolder="" count="0" memberValueDatatype="7" unbalanced="0"/>
    <cacheHierarchy uniqueName="[Shipments].[Actual_Delivery_Date]" caption="Actual_Delivery_Date" attribute="1" time="1" defaultMemberUniqueName="[Shipments].[Actual_Delivery_Date].[All]" allUniqueName="[Shipments].[Actual_Delivery_Date].[All]" dimensionUniqueName="[Shipments]" displayFolder="" count="0" memberValueDatatype="7" unbalanced="0"/>
    <cacheHierarchy uniqueName="[Shipments].[Carrier_ID]" caption="Carrier_ID" attribute="1" defaultMemberUniqueName="[Shipments].[Carrier_ID].[All]" allUniqueName="[Shipments].[Carrier_ID].[All]" dimensionUniqueName="[Shipments]" displayFolder="" count="0" memberValueDatatype="130" unbalanced="0"/>
    <cacheHierarchy uniqueName="[Shipments].[Route_ID]" caption="Route_ID" attribute="1" defaultMemberUniqueName="[Shipments].[Route_ID].[All]" allUniqueName="[Shipments].[Route_ID].[All]" dimensionUniqueName="[Shipments]" displayFolder="" count="0" memberValueDatatype="20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5" unbalanced="0"/>
    <cacheHierarchy uniqueName="[Shipments].[Shipment_Cost]" caption="Shipment_Cost" attribute="1" defaultMemberUniqueName="[Shipments].[Shipment_Cost].[All]" allUniqueName="[Shipments].[Shipment_Cost].[All]" dimensionUniqueName="[Shipments]" displayFolder="" count="0" memberValueDatatype="5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ay_Reason]" caption="Delay_Reason" attribute="1" defaultMemberUniqueName="[Shipments].[Delay_Reason].[All]" allUniqueName="[Shipments].[Delay_Reason].[All]" dimensionUniqueName="[Shipments]" displayFolder="" count="0" memberValueDatatype="130" unbalanced="0"/>
    <cacheHierarchy uniqueName="[Shipments].[Delay_Days]" caption="Delay_Days" attribute="1" defaultMemberUniqueName="[Shipments].[Delay_Days].[All]" allUniqueName="[Shipments].[Delay_Days].[All]" dimensionUniqueName="[Shipments]" displayFolder="" count="0" memberValueDatatype="20" unbalanced="0"/>
    <cacheHierarchy uniqueName="[Shipments].[OTD_Flag]" caption="OTD_Flag" attribute="1" defaultMemberUniqueName="[Shipments].[OTD_Flag].[All]" allUniqueName="[Shipments].[OTD_Flag].[All]" dimensionUniqueName="[Shipments]" displayFolder="" count="2" memberValueDatatype="130" unbalanced="0">
      <fieldsUsage count="2">
        <fieldUsage x="-1"/>
        <fieldUsage x="3"/>
      </fieldsUsage>
    </cacheHierarchy>
    <cacheHierarchy uniqueName="[Shipments].[Cost_per_KM]" caption="Cost_per_KM" attribute="1" defaultMemberUniqueName="[Shipments].[Cost_per_KM].[All]" allUniqueName="[Shipments].[Cost_per_KM].[All]" dimensionUniqueName="[Shipments]" displayFolder="" count="0" memberValueDatatype="5" unbalanced="0"/>
    <cacheHierarchy uniqueName="[Shipments].[Order_DayOfWeek]" caption="Order_DayOfWeek" attribute="1" defaultMemberUniqueName="[Shipments].[Order_DayOfWeek].[All]" allUniqueName="[Shipments].[Order_DayOfWeek].[All]" dimensionUniqueName="[Shipments]" displayFolder="" count="0" memberValueDatatype="130" unbalanced="0"/>
    <cacheHierarchy uniqueName="[Shipments].[Order_Date (Year)]" caption="Order_Date (Year)" attribute="1" defaultMemberUniqueName="[Shipments].[Order_Date (Year)].[All]" allUniqueName="[Shipments].[Order_Date (Year)].[All]" dimensionUniqueName="[Shipments]" displayFolder="" count="0" memberValueDatatype="130" unbalanced="0"/>
    <cacheHierarchy uniqueName="[Shipments].[Order_Date (Quarter)]" caption="Order_Date (Quarter)" attribute="1" defaultMemberUniqueName="[Shipments].[Order_Date (Quarter)].[All]" allUniqueName="[Shipments].[Order_Date (Quarter)].[All]" dimensionUniqueName="[Shipments]" displayFolder="" count="0" memberValueDatatype="130" unbalanced="0"/>
    <cacheHierarchy uniqueName="[Shipments].[Order_Date (Month)]" caption="Order_Date (Month)" attribute="1" defaultMemberUniqueName="[Shipments].[Order_Date (Month)].[All]" allUniqueName="[Shipments].[Order_Date (Month)].[All]" dimensionUniqueName="[Shipments]" displayFolder="" count="0" memberValueDatatype="130" unbalanced="0"/>
    <cacheHierarchy uniqueName="[Shipments].[Order_Date (Month Index)]" caption="Order_Date (Month Index)" attribute="1" defaultMemberUniqueName="[Shipments].[Order_Date (Month Index)].[All]" allUniqueName="[Shipments].[Order_Date (Month Index)].[All]" dimensionUniqueName="[Shipments]" displayFolder="" count="0" memberValueDatatype="20" unbalanced="0" hidden="1"/>
    <cacheHierarchy uniqueName="[Measures].[Count of Shipment_ID]" caption="Count of Shipment_ID" measure="1" displayFolder="" measureGroup="Shipment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TD_Flag]" caption="Count of OTD_Flag" measure="1" displayFolder="" measureGroup="Shipmen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hipment_Cost]" caption="Sum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ment_Cost]" caption="Average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Delay_Days]" caption="Sum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elay_Days]" caption="Average of Delay_Days" measure="1" displayFolder="" measureGroup="Shipmen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Late %]" caption="Late %" measure="1" displayFolder="" measureGroup="Shipments" count="0"/>
    <cacheHierarchy uniqueName="[Measures].[__XL_Count Shipments]" caption="__XL_Count Shipments" measure="1" displayFolder="" measureGroup="Shipments" count="0" hidden="1"/>
    <cacheHierarchy uniqueName="[Measures].[__XL_Count Routes]" caption="__XL_Count Routes" measure="1" displayFolder="" measureGroup="Routes" count="0" hidden="1"/>
    <cacheHierarchy uniqueName="[Measures].[__XL_Count Carriers]" caption="__XL_Count Carriers" measure="1" displayFolder="" measureGroup="Carriers" count="0" hidden="1"/>
    <cacheHierarchy uniqueName="[Measures].[__No measures defined]" caption="__No measures defined" measure="1" displayFolder="" count="0" hidden="1"/>
  </cacheHierarchies>
  <kpis count="0"/>
  <dimensions count="4">
    <dimension name="Carriers" uniqueName="[Carriers]" caption="Carriers"/>
    <dimension measure="1" name="Measures" uniqueName="[Measures]" caption="Measures"/>
    <dimension name="Routes" uniqueName="[Routes]" caption="Routes"/>
    <dimension name="Shipments" uniqueName="[Shipments]" caption="Shipments"/>
  </dimensions>
  <measureGroups count="3">
    <measureGroup name="Carriers" caption="Carriers"/>
    <measureGroup name="Routes" caption="Routes"/>
    <measureGroup name="Shipments" caption="Shipment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SUBORNA" refreshedDate="46209.263700000003" backgroundQuery="1" createdVersion="6" refreshedVersion="6" minRefreshableVersion="3" recordCount="0" supportSubquery="1" supportAdvancedDrill="1">
  <cacheSource type="external" connectionId="4"/>
  <cacheFields count="4">
    <cacheField name="[Routes].[Region_Name].[Region_Name]" caption="Region_Name" numFmtId="0" hierarchy="7" level="1">
      <sharedItems count="5">
        <s v="Chittagong"/>
        <s v="Dhaka"/>
        <s v="Khulna"/>
        <s v="Rajshahi"/>
        <s v="Sylhet"/>
      </sharedItems>
    </cacheField>
    <cacheField name="[Measures].[Count of Shipment_ID]" caption="Count of Shipment_ID" numFmtId="0" hierarchy="29" level="32767"/>
    <cacheField name="[Measures].[Average of Delay_Days]" caption="Average of Delay_Days" numFmtId="0" hierarchy="34" level="32767"/>
    <cacheField name="[Shipments].[OTD_Flag].[OTD_Flag]" caption="OTD_Flag" numFmtId="0" hierarchy="22" level="1">
      <sharedItems count="1">
        <s v="Late"/>
      </sharedItems>
    </cacheField>
  </cacheFields>
  <cacheHierarchies count="40">
    <cacheHierarchy uniqueName="[Carriers].[Carrier_ID]" caption="Carrier_ID" attribute="1" defaultMemberUniqueName="[Carriers].[Carrier_ID].[All]" allUniqueName="[Carriers].[Carrier_ID].[All]" dimensionUniqueName="[Carriers]" displayFolder="" count="0" memberValueDatatype="130" unbalanced="0"/>
    <cacheHierarchy uniqueName="[Carriers].[Carrier_Name]" caption="Carrier_Name" attribute="1" defaultMemberUniqueName="[Carriers].[Carrier_Name].[All]" allUniqueName="[Carriers].[Carrier_Name].[All]" dimensionUniqueName="[Carriers]" displayFolder="" count="0" memberValueDatatype="130" unbalanced="0"/>
    <cacheHierarchy uniqueName="[Carriers].[Vehicle_Type]" caption="Vehicle_Type" attribute="1" defaultMemberUniqueName="[Carriers].[Vehicle_Type].[All]" allUniqueName="[Carriers].[Vehicle_Type].[All]" dimensionUniqueName="[Carriers]" displayFolder="" count="0" memberValueDatatype="130" unbalanced="0"/>
    <cacheHierarchy uniqueName="[Carriers].[Base_Rate_per_KM]" caption="Base_Rate_per_KM" attribute="1" defaultMemberUniqueName="[Carriers].[Base_Rate_per_KM].[All]" allUniqueName="[Carriers].[Base_Rate_per_KM].[All]" dimensionUniqueName="[Carriers]" displayFolder="" count="0" memberValueDatatype="5" unbalanced="0"/>
    <cacheHierarchy uniqueName="[Carriers].[Contract_Start_Date]" caption="Contract_Start_Date" attribute="1" time="1" defaultMemberUniqueName="[Carriers].[Contract_Start_Date].[All]" allUniqueName="[Carriers].[Contract_Start_Date].[All]" dimensionUniqueName="[Carriers]" displayFolder="" count="0" memberValueDatatype="7" unbalanced="0"/>
    <cacheHierarchy uniqueName="[Routes].[Route_ID]" caption="Route_ID" attribute="1" defaultMemberUniqueName="[Routes].[Route_ID].[All]" allUniqueName="[Routes].[Route_ID].[All]" dimensionUniqueName="[Routes]" displayFolder="" count="0" memberValueDatatype="2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Routes].[Region_Name]" caption="Region_Name" attribute="1" defaultMemberUniqueName="[Routes].[Region_Name].[All]" allUniqueName="[Routes].[Region_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Zone]" caption="Zone" attribute="1" defaultMemberUniqueName="[Routes].[Zone].[All]" allUniqueName="[Routes].[Zone].[All]" dimensionUniqueName="[Routes]" displayFolder="" count="0" memberValueDatatype="130" unbalanced="0"/>
    <cacheHierarchy uniqueName="[Routes].[Avg_Route_Distance_KM]" caption="Avg_Route_Distance_KM" attribute="1" defaultMemberUniqueName="[Routes].[Avg_Route_Distance_KM].[All]" allUniqueName="[Routes].[Avg_Route_Distance_KM].[All]" dimensionUniqueName="[Routes]" displayFolder="" count="0" memberValueDatatype="2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Order_Date]" caption="Order_Date" attribute="1" time="1" defaultMemberUniqueName="[Shipments].[Order_Date].[All]" allUniqueName="[Shipments].[Order_Date].[All]" dimensionUniqueName="[Shipments]" displayFolder="" count="0" memberValueDatatype="7" unbalanced="0"/>
    <cacheHierarchy uniqueName="[Shipments].[Promised_Delivery_Date]" caption="Promised_Delivery_Date" attribute="1" time="1" defaultMemberUniqueName="[Shipments].[Promised_Delivery_Date].[All]" allUniqueName="[Shipments].[Promised_Delivery_Date].[All]" dimensionUniqueName="[Shipments]" displayFolder="" count="0" memberValueDatatype="7" unbalanced="0"/>
    <cacheHierarchy uniqueName="[Shipments].[Actual_Delivery_Date]" caption="Actual_Delivery_Date" attribute="1" time="1" defaultMemberUniqueName="[Shipments].[Actual_Delivery_Date].[All]" allUniqueName="[Shipments].[Actual_Delivery_Date].[All]" dimensionUniqueName="[Shipments]" displayFolder="" count="0" memberValueDatatype="7" unbalanced="0"/>
    <cacheHierarchy uniqueName="[Shipments].[Carrier_ID]" caption="Carrier_ID" attribute="1" defaultMemberUniqueName="[Shipments].[Carrier_ID].[All]" allUniqueName="[Shipments].[Carrier_ID].[All]" dimensionUniqueName="[Shipments]" displayFolder="" count="0" memberValueDatatype="130" unbalanced="0"/>
    <cacheHierarchy uniqueName="[Shipments].[Route_ID]" caption="Route_ID" attribute="1" defaultMemberUniqueName="[Shipments].[Route_ID].[All]" allUniqueName="[Shipments].[Route_ID].[All]" dimensionUniqueName="[Shipments]" displayFolder="" count="0" memberValueDatatype="20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5" unbalanced="0"/>
    <cacheHierarchy uniqueName="[Shipments].[Shipment_Cost]" caption="Shipment_Cost" attribute="1" defaultMemberUniqueName="[Shipments].[Shipment_Cost].[All]" allUniqueName="[Shipments].[Shipment_Cost].[All]" dimensionUniqueName="[Shipments]" displayFolder="" count="0" memberValueDatatype="5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ay_Reason]" caption="Delay_Reason" attribute="1" defaultMemberUniqueName="[Shipments].[Delay_Reason].[All]" allUniqueName="[Shipments].[Delay_Reason].[All]" dimensionUniqueName="[Shipments]" displayFolder="" count="0" memberValueDatatype="130" unbalanced="0"/>
    <cacheHierarchy uniqueName="[Shipments].[Delay_Days]" caption="Delay_Days" attribute="1" defaultMemberUniqueName="[Shipments].[Delay_Days].[All]" allUniqueName="[Shipments].[Delay_Days].[All]" dimensionUniqueName="[Shipments]" displayFolder="" count="0" memberValueDatatype="20" unbalanced="0"/>
    <cacheHierarchy uniqueName="[Shipments].[OTD_Flag]" caption="OTD_Flag" attribute="1" defaultMemberUniqueName="[Shipments].[OTD_Flag].[All]" allUniqueName="[Shipments].[OTD_Flag].[All]" dimensionUniqueName="[Shipments]" displayFolder="" count="2" memberValueDatatype="130" unbalanced="0">
      <fieldsUsage count="2">
        <fieldUsage x="-1"/>
        <fieldUsage x="3"/>
      </fieldsUsage>
    </cacheHierarchy>
    <cacheHierarchy uniqueName="[Shipments].[Cost_per_KM]" caption="Cost_per_KM" attribute="1" defaultMemberUniqueName="[Shipments].[Cost_per_KM].[All]" allUniqueName="[Shipments].[Cost_per_KM].[All]" dimensionUniqueName="[Shipments]" displayFolder="" count="0" memberValueDatatype="5" unbalanced="0"/>
    <cacheHierarchy uniqueName="[Shipments].[Order_DayOfWeek]" caption="Order_DayOfWeek" attribute="1" defaultMemberUniqueName="[Shipments].[Order_DayOfWeek].[All]" allUniqueName="[Shipments].[Order_DayOfWeek].[All]" dimensionUniqueName="[Shipments]" displayFolder="" count="0" memberValueDatatype="130" unbalanced="0"/>
    <cacheHierarchy uniqueName="[Shipments].[Order_Date (Year)]" caption="Order_Date (Year)" attribute="1" defaultMemberUniqueName="[Shipments].[Order_Date (Year)].[All]" allUniqueName="[Shipments].[Order_Date (Year)].[All]" dimensionUniqueName="[Shipments]" displayFolder="" count="0" memberValueDatatype="130" unbalanced="0"/>
    <cacheHierarchy uniqueName="[Shipments].[Order_Date (Quarter)]" caption="Order_Date (Quarter)" attribute="1" defaultMemberUniqueName="[Shipments].[Order_Date (Quarter)].[All]" allUniqueName="[Shipments].[Order_Date (Quarter)].[All]" dimensionUniqueName="[Shipments]" displayFolder="" count="0" memberValueDatatype="130" unbalanced="0"/>
    <cacheHierarchy uniqueName="[Shipments].[Order_Date (Month)]" caption="Order_Date (Month)" attribute="1" defaultMemberUniqueName="[Shipments].[Order_Date (Month)].[All]" allUniqueName="[Shipments].[Order_Date (Month)].[All]" dimensionUniqueName="[Shipments]" displayFolder="" count="0" memberValueDatatype="130" unbalanced="0"/>
    <cacheHierarchy uniqueName="[Shipments].[Order_Date (Month Index)]" caption="Order_Date (Month Index)" attribute="1" defaultMemberUniqueName="[Shipments].[Order_Date (Month Index)].[All]" allUniqueName="[Shipments].[Order_Date (Month Index)].[All]" dimensionUniqueName="[Shipments]" displayFolder="" count="0" memberValueDatatype="20" unbalanced="0" hidden="1"/>
    <cacheHierarchy uniqueName="[Measures].[Count of Shipment_ID]" caption="Count of Shipment_ID" measure="1" displayFolder="" measureGroup="Shipment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TD_Flag]" caption="Count of OTD_Flag" measure="1" displayFolder="" measureGroup="Shipmen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hipment_Cost]" caption="Sum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ment_Cost]" caption="Average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Delay_Days]" caption="Sum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elay_Days]" caption="Average of Delay_Days" measure="1" displayFolder="" measureGroup="Shipmen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Late %]" caption="Late %" measure="1" displayFolder="" measureGroup="Shipments" count="0"/>
    <cacheHierarchy uniqueName="[Measures].[__XL_Count Shipments]" caption="__XL_Count Shipments" measure="1" displayFolder="" measureGroup="Shipments" count="0" hidden="1"/>
    <cacheHierarchy uniqueName="[Measures].[__XL_Count Routes]" caption="__XL_Count Routes" measure="1" displayFolder="" measureGroup="Routes" count="0" hidden="1"/>
    <cacheHierarchy uniqueName="[Measures].[__XL_Count Carriers]" caption="__XL_Count Carriers" measure="1" displayFolder="" measureGroup="Carriers" count="0" hidden="1"/>
    <cacheHierarchy uniqueName="[Measures].[__No measures defined]" caption="__No measures defined" measure="1" displayFolder="" count="0" hidden="1"/>
  </cacheHierarchies>
  <kpis count="0"/>
  <dimensions count="4">
    <dimension name="Carriers" uniqueName="[Carriers]" caption="Carriers"/>
    <dimension measure="1" name="Measures" uniqueName="[Measures]" caption="Measures"/>
    <dimension name="Routes" uniqueName="[Routes]" caption="Routes"/>
    <dimension name="Shipments" uniqueName="[Shipments]" caption="Shipments"/>
  </dimensions>
  <measureGroups count="3">
    <measureGroup name="Carriers" caption="Carriers"/>
    <measureGroup name="Routes" caption="Routes"/>
    <measureGroup name="Shipments" caption="Shipment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SUBORNA" refreshedDate="46209.263701736112" backgroundQuery="1" createdVersion="6" refreshedVersion="6" minRefreshableVersion="3" recordCount="0" supportSubquery="1" supportAdvancedDrill="1">
  <cacheSource type="external" connectionId="4"/>
  <cacheFields count="3">
    <cacheField name="[Routes].[Region_Name].[Region_Name]" caption="Region_Name" numFmtId="0" hierarchy="7" level="1">
      <sharedItems count="5">
        <s v="Chittagong"/>
        <s v="Dhaka"/>
        <s v="Khulna"/>
        <s v="Rajshahi"/>
        <s v="Sylhet"/>
      </sharedItems>
    </cacheField>
    <cacheField name="[Routes].[Route_Name].[Route_Name]" caption="Route_Name" numFmtId="0" hierarchy="6" level="1">
      <sharedItems count="10">
        <s v="Chittagong Hill Tracts"/>
        <s v="Chittagong Port Area"/>
        <s v="Dhaka Central"/>
        <s v="Dhaka Suburb"/>
        <s v="Khulna City"/>
        <s v="Khulna Rural Belt"/>
        <s v="Rajshahi City"/>
        <s v="Rajshahi Rural Belt"/>
        <s v="Sylhet City"/>
        <s v="Sylhet Outskirts"/>
      </sharedItems>
    </cacheField>
    <cacheField name="[Measures].[Count of Shipment_ID]" caption="Count of Shipment_ID" numFmtId="0" hierarchy="29" level="32767"/>
  </cacheFields>
  <cacheHierarchies count="40">
    <cacheHierarchy uniqueName="[Carriers].[Carrier_ID]" caption="Carrier_ID" attribute="1" defaultMemberUniqueName="[Carriers].[Carrier_ID].[All]" allUniqueName="[Carriers].[Carrier_ID].[All]" dimensionUniqueName="[Carriers]" displayFolder="" count="0" memberValueDatatype="130" unbalanced="0"/>
    <cacheHierarchy uniqueName="[Carriers].[Carrier_Name]" caption="Carrier_Name" attribute="1" defaultMemberUniqueName="[Carriers].[Carrier_Name].[All]" allUniqueName="[Carriers].[Carrier_Name].[All]" dimensionUniqueName="[Carriers]" displayFolder="" count="0" memberValueDatatype="130" unbalanced="0"/>
    <cacheHierarchy uniqueName="[Carriers].[Vehicle_Type]" caption="Vehicle_Type" attribute="1" defaultMemberUniqueName="[Carriers].[Vehicle_Type].[All]" allUniqueName="[Carriers].[Vehicle_Type].[All]" dimensionUniqueName="[Carriers]" displayFolder="" count="0" memberValueDatatype="130" unbalanced="0"/>
    <cacheHierarchy uniqueName="[Carriers].[Base_Rate_per_KM]" caption="Base_Rate_per_KM" attribute="1" defaultMemberUniqueName="[Carriers].[Base_Rate_per_KM].[All]" allUniqueName="[Carriers].[Base_Rate_per_KM].[All]" dimensionUniqueName="[Carriers]" displayFolder="" count="0" memberValueDatatype="5" unbalanced="0"/>
    <cacheHierarchy uniqueName="[Carriers].[Contract_Start_Date]" caption="Contract_Start_Date" attribute="1" time="1" defaultMemberUniqueName="[Carriers].[Contract_Start_Date].[All]" allUniqueName="[Carriers].[Contract_Start_Date].[All]" dimensionUniqueName="[Carriers]" displayFolder="" count="0" memberValueDatatype="7" unbalanced="0"/>
    <cacheHierarchy uniqueName="[Routes].[Route_ID]" caption="Route_ID" attribute="1" defaultMemberUniqueName="[Routes].[Route_ID].[All]" allUniqueName="[Routes].[Route_ID].[All]" dimensionUniqueName="[Routes]" displayFolder="" count="0" memberValueDatatype="20" unbalanced="0"/>
    <cacheHierarchy uniqueName="[Routes].[Route_Name]" caption="Route_Name" attribute="1" defaultMemberUniqueName="[Routes].[Route_Name].[All]" allUniqueName="[Routes].[Route_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Region_Name]" caption="Region_Name" attribute="1" defaultMemberUniqueName="[Routes].[Region_Name].[All]" allUniqueName="[Routes].[Region_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Zone]" caption="Zone" attribute="1" defaultMemberUniqueName="[Routes].[Zone].[All]" allUniqueName="[Routes].[Zone].[All]" dimensionUniqueName="[Routes]" displayFolder="" count="0" memberValueDatatype="130" unbalanced="0"/>
    <cacheHierarchy uniqueName="[Routes].[Avg_Route_Distance_KM]" caption="Avg_Route_Distance_KM" attribute="1" defaultMemberUniqueName="[Routes].[Avg_Route_Distance_KM].[All]" allUniqueName="[Routes].[Avg_Route_Distance_KM].[All]" dimensionUniqueName="[Routes]" displayFolder="" count="0" memberValueDatatype="2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Order_Date]" caption="Order_Date" attribute="1" time="1" defaultMemberUniqueName="[Shipments].[Order_Date].[All]" allUniqueName="[Shipments].[Order_Date].[All]" dimensionUniqueName="[Shipments]" displayFolder="" count="0" memberValueDatatype="7" unbalanced="0"/>
    <cacheHierarchy uniqueName="[Shipments].[Promised_Delivery_Date]" caption="Promised_Delivery_Date" attribute="1" time="1" defaultMemberUniqueName="[Shipments].[Promised_Delivery_Date].[All]" allUniqueName="[Shipments].[Promised_Delivery_Date].[All]" dimensionUniqueName="[Shipments]" displayFolder="" count="0" memberValueDatatype="7" unbalanced="0"/>
    <cacheHierarchy uniqueName="[Shipments].[Actual_Delivery_Date]" caption="Actual_Delivery_Date" attribute="1" time="1" defaultMemberUniqueName="[Shipments].[Actual_Delivery_Date].[All]" allUniqueName="[Shipments].[Actual_Delivery_Date].[All]" dimensionUniqueName="[Shipments]" displayFolder="" count="0" memberValueDatatype="7" unbalanced="0"/>
    <cacheHierarchy uniqueName="[Shipments].[Carrier_ID]" caption="Carrier_ID" attribute="1" defaultMemberUniqueName="[Shipments].[Carrier_ID].[All]" allUniqueName="[Shipments].[Carrier_ID].[All]" dimensionUniqueName="[Shipments]" displayFolder="" count="0" memberValueDatatype="130" unbalanced="0"/>
    <cacheHierarchy uniqueName="[Shipments].[Route_ID]" caption="Route_ID" attribute="1" defaultMemberUniqueName="[Shipments].[Route_ID].[All]" allUniqueName="[Shipments].[Route_ID].[All]" dimensionUniqueName="[Shipments]" displayFolder="" count="0" memberValueDatatype="20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5" unbalanced="0"/>
    <cacheHierarchy uniqueName="[Shipments].[Shipment_Cost]" caption="Shipment_Cost" attribute="1" defaultMemberUniqueName="[Shipments].[Shipment_Cost].[All]" allUniqueName="[Shipments].[Shipment_Cost].[All]" dimensionUniqueName="[Shipments]" displayFolder="" count="0" memberValueDatatype="5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ay_Reason]" caption="Delay_Reason" attribute="1" defaultMemberUniqueName="[Shipments].[Delay_Reason].[All]" allUniqueName="[Shipments].[Delay_Reason].[All]" dimensionUniqueName="[Shipments]" displayFolder="" count="0" memberValueDatatype="130" unbalanced="0"/>
    <cacheHierarchy uniqueName="[Shipments].[Delay_Days]" caption="Delay_Days" attribute="1" defaultMemberUniqueName="[Shipments].[Delay_Days].[All]" allUniqueName="[Shipments].[Delay_Days].[All]" dimensionUniqueName="[Shipments]" displayFolder="" count="0" memberValueDatatype="20" unbalanced="0"/>
    <cacheHierarchy uniqueName="[Shipments].[OTD_Flag]" caption="OTD_Flag" attribute="1" defaultMemberUniqueName="[Shipments].[OTD_Flag].[All]" allUniqueName="[Shipments].[OTD_Flag].[All]" dimensionUniqueName="[Shipments]" displayFolder="" count="0" memberValueDatatype="130" unbalanced="0"/>
    <cacheHierarchy uniqueName="[Shipments].[Cost_per_KM]" caption="Cost_per_KM" attribute="1" defaultMemberUniqueName="[Shipments].[Cost_per_KM].[All]" allUniqueName="[Shipments].[Cost_per_KM].[All]" dimensionUniqueName="[Shipments]" displayFolder="" count="0" memberValueDatatype="5" unbalanced="0"/>
    <cacheHierarchy uniqueName="[Shipments].[Order_DayOfWeek]" caption="Order_DayOfWeek" attribute="1" defaultMemberUniqueName="[Shipments].[Order_DayOfWeek].[All]" allUniqueName="[Shipments].[Order_DayOfWeek].[All]" dimensionUniqueName="[Shipments]" displayFolder="" count="0" memberValueDatatype="130" unbalanced="0"/>
    <cacheHierarchy uniqueName="[Shipments].[Order_Date (Year)]" caption="Order_Date (Year)" attribute="1" defaultMemberUniqueName="[Shipments].[Order_Date (Year)].[All]" allUniqueName="[Shipments].[Order_Date (Year)].[All]" dimensionUniqueName="[Shipments]" displayFolder="" count="0" memberValueDatatype="130" unbalanced="0"/>
    <cacheHierarchy uniqueName="[Shipments].[Order_Date (Quarter)]" caption="Order_Date (Quarter)" attribute="1" defaultMemberUniqueName="[Shipments].[Order_Date (Quarter)].[All]" allUniqueName="[Shipments].[Order_Date (Quarter)].[All]" dimensionUniqueName="[Shipments]" displayFolder="" count="0" memberValueDatatype="130" unbalanced="0"/>
    <cacheHierarchy uniqueName="[Shipments].[Order_Date (Month)]" caption="Order_Date (Month)" attribute="1" defaultMemberUniqueName="[Shipments].[Order_Date (Month)].[All]" allUniqueName="[Shipments].[Order_Date (Month)].[All]" dimensionUniqueName="[Shipments]" displayFolder="" count="0" memberValueDatatype="130" unbalanced="0"/>
    <cacheHierarchy uniqueName="[Shipments].[Order_Date (Month Index)]" caption="Order_Date (Month Index)" attribute="1" defaultMemberUniqueName="[Shipments].[Order_Date (Month Index)].[All]" allUniqueName="[Shipments].[Order_Date (Month Index)].[All]" dimensionUniqueName="[Shipments]" displayFolder="" count="0" memberValueDatatype="20" unbalanced="0" hidden="1"/>
    <cacheHierarchy uniqueName="[Measures].[Count of Shipment_ID]" caption="Count of Shipment_ID" measure="1" displayFolder="" measureGroup="Shipmen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TD_Flag]" caption="Count of OTD_Flag" measure="1" displayFolder="" measureGroup="Shipmen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hipment_Cost]" caption="Sum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ment_Cost]" caption="Average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Delay_Days]" caption="Sum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elay_Days]" caption="Average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Late %]" caption="Late %" measure="1" displayFolder="" measureGroup="Shipments" count="0"/>
    <cacheHierarchy uniqueName="[Measures].[__XL_Count Shipments]" caption="__XL_Count Shipments" measure="1" displayFolder="" measureGroup="Shipments" count="0" hidden="1"/>
    <cacheHierarchy uniqueName="[Measures].[__XL_Count Routes]" caption="__XL_Count Routes" measure="1" displayFolder="" measureGroup="Routes" count="0" hidden="1"/>
    <cacheHierarchy uniqueName="[Measures].[__XL_Count Carriers]" caption="__XL_Count Carriers" measure="1" displayFolder="" measureGroup="Carriers" count="0" hidden="1"/>
    <cacheHierarchy uniqueName="[Measures].[__No measures defined]" caption="__No measures defined" measure="1" displayFolder="" count="0" hidden="1"/>
  </cacheHierarchies>
  <kpis count="0"/>
  <dimensions count="4">
    <dimension name="Carriers" uniqueName="[Carriers]" caption="Carriers"/>
    <dimension measure="1" name="Measures" uniqueName="[Measures]" caption="Measures"/>
    <dimension name="Routes" uniqueName="[Routes]" caption="Routes"/>
    <dimension name="Shipments" uniqueName="[Shipments]" caption="Shipments"/>
  </dimensions>
  <measureGroups count="3">
    <measureGroup name="Carriers" caption="Carriers"/>
    <measureGroup name="Routes" caption="Routes"/>
    <measureGroup name="Shipments" caption="Shipment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SUBORNA" refreshedDate="46209.263702893521" backgroundQuery="1" createdVersion="6" refreshedVersion="6" minRefreshableVersion="3" recordCount="0" supportSubquery="1" supportAdvancedDrill="1">
  <cacheSource type="external" connectionId="4"/>
  <cacheFields count="4">
    <cacheField name="[Routes].[Region_Name].[Region_Name]" caption="Region_Name" numFmtId="0" hierarchy="7" level="1">
      <sharedItems count="5">
        <s v="Chittagong"/>
        <s v="Dhaka"/>
        <s v="Khulna"/>
        <s v="Rajshahi"/>
        <s v="Sylhet"/>
      </sharedItems>
    </cacheField>
    <cacheField name="[Routes].[Route_Name].[Route_Name]" caption="Route_Name" numFmtId="0" hierarchy="6" level="1">
      <sharedItems count="10">
        <s v="Chittagong Hill Tracts"/>
        <s v="Chittagong Port Area"/>
        <s v="Dhaka Central"/>
        <s v="Dhaka Suburb"/>
        <s v="Khulna City"/>
        <s v="Khulna Rural Belt"/>
        <s v="Rajshahi City"/>
        <s v="Rajshahi Rural Belt"/>
        <s v="Sylhet City"/>
        <s v="Sylhet Outskirts"/>
      </sharedItems>
    </cacheField>
    <cacheField name="[Measures].[Count of Shipment_ID]" caption="Count of Shipment_ID" numFmtId="0" hierarchy="29" level="32767"/>
    <cacheField name="[Shipments].[OTD_Flag].[OTD_Flag]" caption="OTD_Flag" numFmtId="0" hierarchy="22" level="1">
      <sharedItems count="1">
        <s v="Late"/>
      </sharedItems>
    </cacheField>
  </cacheFields>
  <cacheHierarchies count="40">
    <cacheHierarchy uniqueName="[Carriers].[Carrier_ID]" caption="Carrier_ID" attribute="1" defaultMemberUniqueName="[Carriers].[Carrier_ID].[All]" allUniqueName="[Carriers].[Carrier_ID].[All]" dimensionUniqueName="[Carriers]" displayFolder="" count="0" memberValueDatatype="130" unbalanced="0"/>
    <cacheHierarchy uniqueName="[Carriers].[Carrier_Name]" caption="Carrier_Name" attribute="1" defaultMemberUniqueName="[Carriers].[Carrier_Name].[All]" allUniqueName="[Carriers].[Carrier_Name].[All]" dimensionUniqueName="[Carriers]" displayFolder="" count="0" memberValueDatatype="130" unbalanced="0"/>
    <cacheHierarchy uniqueName="[Carriers].[Vehicle_Type]" caption="Vehicle_Type" attribute="1" defaultMemberUniqueName="[Carriers].[Vehicle_Type].[All]" allUniqueName="[Carriers].[Vehicle_Type].[All]" dimensionUniqueName="[Carriers]" displayFolder="" count="0" memberValueDatatype="130" unbalanced="0"/>
    <cacheHierarchy uniqueName="[Carriers].[Base_Rate_per_KM]" caption="Base_Rate_per_KM" attribute="1" defaultMemberUniqueName="[Carriers].[Base_Rate_per_KM].[All]" allUniqueName="[Carriers].[Base_Rate_per_KM].[All]" dimensionUniqueName="[Carriers]" displayFolder="" count="0" memberValueDatatype="5" unbalanced="0"/>
    <cacheHierarchy uniqueName="[Carriers].[Contract_Start_Date]" caption="Contract_Start_Date" attribute="1" time="1" defaultMemberUniqueName="[Carriers].[Contract_Start_Date].[All]" allUniqueName="[Carriers].[Contract_Start_Date].[All]" dimensionUniqueName="[Carriers]" displayFolder="" count="0" memberValueDatatype="7" unbalanced="0"/>
    <cacheHierarchy uniqueName="[Routes].[Route_ID]" caption="Route_ID" attribute="1" defaultMemberUniqueName="[Routes].[Route_ID].[All]" allUniqueName="[Routes].[Route_ID].[All]" dimensionUniqueName="[Routes]" displayFolder="" count="0" memberValueDatatype="20" unbalanced="0"/>
    <cacheHierarchy uniqueName="[Routes].[Route_Name]" caption="Route_Name" attribute="1" defaultMemberUniqueName="[Routes].[Route_Name].[All]" allUniqueName="[Routes].[Route_Name].[All]" dimensionUniqueName="[Routes]" displayFolder="" count="2" memberValueDatatype="130" unbalanced="0">
      <fieldsUsage count="2">
        <fieldUsage x="-1"/>
        <fieldUsage x="1"/>
      </fieldsUsage>
    </cacheHierarchy>
    <cacheHierarchy uniqueName="[Routes].[Region_Name]" caption="Region_Name" attribute="1" defaultMemberUniqueName="[Routes].[Region_Name].[All]" allUniqueName="[Routes].[Region_Name].[All]" dimensionUniqueName="[Routes]" displayFolder="" count="2" memberValueDatatype="130" unbalanced="0">
      <fieldsUsage count="2">
        <fieldUsage x="-1"/>
        <fieldUsage x="0"/>
      </fieldsUsage>
    </cacheHierarchy>
    <cacheHierarchy uniqueName="[Routes].[Zone]" caption="Zone" attribute="1" defaultMemberUniqueName="[Routes].[Zone].[All]" allUniqueName="[Routes].[Zone].[All]" dimensionUniqueName="[Routes]" displayFolder="" count="0" memberValueDatatype="130" unbalanced="0"/>
    <cacheHierarchy uniqueName="[Routes].[Avg_Route_Distance_KM]" caption="Avg_Route_Distance_KM" attribute="1" defaultMemberUniqueName="[Routes].[Avg_Route_Distance_KM].[All]" allUniqueName="[Routes].[Avg_Route_Distance_KM].[All]" dimensionUniqueName="[Routes]" displayFolder="" count="0" memberValueDatatype="2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Order_Date]" caption="Order_Date" attribute="1" time="1" defaultMemberUniqueName="[Shipments].[Order_Date].[All]" allUniqueName="[Shipments].[Order_Date].[All]" dimensionUniqueName="[Shipments]" displayFolder="" count="0" memberValueDatatype="7" unbalanced="0"/>
    <cacheHierarchy uniqueName="[Shipments].[Promised_Delivery_Date]" caption="Promised_Delivery_Date" attribute="1" time="1" defaultMemberUniqueName="[Shipments].[Promised_Delivery_Date].[All]" allUniqueName="[Shipments].[Promised_Delivery_Date].[All]" dimensionUniqueName="[Shipments]" displayFolder="" count="0" memberValueDatatype="7" unbalanced="0"/>
    <cacheHierarchy uniqueName="[Shipments].[Actual_Delivery_Date]" caption="Actual_Delivery_Date" attribute="1" time="1" defaultMemberUniqueName="[Shipments].[Actual_Delivery_Date].[All]" allUniqueName="[Shipments].[Actual_Delivery_Date].[All]" dimensionUniqueName="[Shipments]" displayFolder="" count="0" memberValueDatatype="7" unbalanced="0"/>
    <cacheHierarchy uniqueName="[Shipments].[Carrier_ID]" caption="Carrier_ID" attribute="1" defaultMemberUniqueName="[Shipments].[Carrier_ID].[All]" allUniqueName="[Shipments].[Carrier_ID].[All]" dimensionUniqueName="[Shipments]" displayFolder="" count="0" memberValueDatatype="130" unbalanced="0"/>
    <cacheHierarchy uniqueName="[Shipments].[Route_ID]" caption="Route_ID" attribute="1" defaultMemberUniqueName="[Shipments].[Route_ID].[All]" allUniqueName="[Shipments].[Route_ID].[All]" dimensionUniqueName="[Shipments]" displayFolder="" count="0" memberValueDatatype="20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5" unbalanced="0"/>
    <cacheHierarchy uniqueName="[Shipments].[Shipment_Cost]" caption="Shipment_Cost" attribute="1" defaultMemberUniqueName="[Shipments].[Shipment_Cost].[All]" allUniqueName="[Shipments].[Shipment_Cost].[All]" dimensionUniqueName="[Shipments]" displayFolder="" count="0" memberValueDatatype="5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ay_Reason]" caption="Delay_Reason" attribute="1" defaultMemberUniqueName="[Shipments].[Delay_Reason].[All]" allUniqueName="[Shipments].[Delay_Reason].[All]" dimensionUniqueName="[Shipments]" displayFolder="" count="0" memberValueDatatype="130" unbalanced="0"/>
    <cacheHierarchy uniqueName="[Shipments].[Delay_Days]" caption="Delay_Days" attribute="1" defaultMemberUniqueName="[Shipments].[Delay_Days].[All]" allUniqueName="[Shipments].[Delay_Days].[All]" dimensionUniqueName="[Shipments]" displayFolder="" count="0" memberValueDatatype="20" unbalanced="0"/>
    <cacheHierarchy uniqueName="[Shipments].[OTD_Flag]" caption="OTD_Flag" attribute="1" defaultMemberUniqueName="[Shipments].[OTD_Flag].[All]" allUniqueName="[Shipments].[OTD_Flag].[All]" dimensionUniqueName="[Shipments]" displayFolder="" count="2" memberValueDatatype="130" unbalanced="0">
      <fieldsUsage count="2">
        <fieldUsage x="-1"/>
        <fieldUsage x="3"/>
      </fieldsUsage>
    </cacheHierarchy>
    <cacheHierarchy uniqueName="[Shipments].[Cost_per_KM]" caption="Cost_per_KM" attribute="1" defaultMemberUniqueName="[Shipments].[Cost_per_KM].[All]" allUniqueName="[Shipments].[Cost_per_KM].[All]" dimensionUniqueName="[Shipments]" displayFolder="" count="0" memberValueDatatype="5" unbalanced="0"/>
    <cacheHierarchy uniqueName="[Shipments].[Order_DayOfWeek]" caption="Order_DayOfWeek" attribute="1" defaultMemberUniqueName="[Shipments].[Order_DayOfWeek].[All]" allUniqueName="[Shipments].[Order_DayOfWeek].[All]" dimensionUniqueName="[Shipments]" displayFolder="" count="0" memberValueDatatype="130" unbalanced="0"/>
    <cacheHierarchy uniqueName="[Shipments].[Order_Date (Year)]" caption="Order_Date (Year)" attribute="1" defaultMemberUniqueName="[Shipments].[Order_Date (Year)].[All]" allUniqueName="[Shipments].[Order_Date (Year)].[All]" dimensionUniqueName="[Shipments]" displayFolder="" count="0" memberValueDatatype="130" unbalanced="0"/>
    <cacheHierarchy uniqueName="[Shipments].[Order_Date (Quarter)]" caption="Order_Date (Quarter)" attribute="1" defaultMemberUniqueName="[Shipments].[Order_Date (Quarter)].[All]" allUniqueName="[Shipments].[Order_Date (Quarter)].[All]" dimensionUniqueName="[Shipments]" displayFolder="" count="0" memberValueDatatype="130" unbalanced="0"/>
    <cacheHierarchy uniqueName="[Shipments].[Order_Date (Month)]" caption="Order_Date (Month)" attribute="1" defaultMemberUniqueName="[Shipments].[Order_Date (Month)].[All]" allUniqueName="[Shipments].[Order_Date (Month)].[All]" dimensionUniqueName="[Shipments]" displayFolder="" count="0" memberValueDatatype="130" unbalanced="0"/>
    <cacheHierarchy uniqueName="[Shipments].[Order_Date (Month Index)]" caption="Order_Date (Month Index)" attribute="1" defaultMemberUniqueName="[Shipments].[Order_Date (Month Index)].[All]" allUniqueName="[Shipments].[Order_Date (Month Index)].[All]" dimensionUniqueName="[Shipments]" displayFolder="" count="0" memberValueDatatype="20" unbalanced="0" hidden="1"/>
    <cacheHierarchy uniqueName="[Measures].[Count of Shipment_ID]" caption="Count of Shipment_ID" measure="1" displayFolder="" measureGroup="Shipmen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TD_Flag]" caption="Count of OTD_Flag" measure="1" displayFolder="" measureGroup="Shipmen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hipment_Cost]" caption="Sum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ment_Cost]" caption="Average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Delay_Days]" caption="Sum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elay_Days]" caption="Average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Late %]" caption="Late %" measure="1" displayFolder="" measureGroup="Shipments" count="0"/>
    <cacheHierarchy uniqueName="[Measures].[__XL_Count Shipments]" caption="__XL_Count Shipments" measure="1" displayFolder="" measureGroup="Shipments" count="0" hidden="1"/>
    <cacheHierarchy uniqueName="[Measures].[__XL_Count Routes]" caption="__XL_Count Routes" measure="1" displayFolder="" measureGroup="Routes" count="0" hidden="1"/>
    <cacheHierarchy uniqueName="[Measures].[__XL_Count Carriers]" caption="__XL_Count Carriers" measure="1" displayFolder="" measureGroup="Carriers" count="0" hidden="1"/>
    <cacheHierarchy uniqueName="[Measures].[__No measures defined]" caption="__No measures defined" measure="1" displayFolder="" count="0" hidden="1"/>
  </cacheHierarchies>
  <kpis count="0"/>
  <dimensions count="4">
    <dimension name="Carriers" uniqueName="[Carriers]" caption="Carriers"/>
    <dimension measure="1" name="Measures" uniqueName="[Measures]" caption="Measures"/>
    <dimension name="Routes" uniqueName="[Routes]" caption="Routes"/>
    <dimension name="Shipments" uniqueName="[Shipments]" caption="Shipments"/>
  </dimensions>
  <measureGroups count="3">
    <measureGroup name="Carriers" caption="Carriers"/>
    <measureGroup name="Routes" caption="Routes"/>
    <measureGroup name="Shipments" caption="Shipment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SUBORNA" refreshedDate="46209.263703935183" backgroundQuery="1" createdVersion="6" refreshedVersion="6" minRefreshableVersion="3" recordCount="0" supportSubquery="1" supportAdvancedDrill="1">
  <cacheSource type="external" connectionId="4"/>
  <cacheFields count="5">
    <cacheField name="[Shipments].[OTD_Flag].[OTD_Flag]" caption="OTD_Flag" numFmtId="0" hierarchy="22" level="1">
      <sharedItems count="2">
        <s v="Late"/>
        <s v="On Time"/>
      </sharedItems>
    </cacheField>
    <cacheField name="[Measures].[Count of Shipment_ID]" caption="Count of Shipment_ID" numFmtId="0" hierarchy="29" level="32767"/>
    <cacheField name="[Measures].[Average of Shipment_Cost]" caption="Average of Shipment_Cost" numFmtId="0" hierarchy="32" level="32767"/>
    <cacheField name="[Measures].[Average of Delay_Days]" caption="Average of Delay_Days" numFmtId="0" hierarchy="34" level="32767"/>
    <cacheField name="[Carriers].[Carrier_Name].[Carrier_Name]" caption="Carrier_Name" numFmtId="0" hierarchy="1" level="1">
      <sharedItems count="6">
        <s v="Jamuna Cargo Movers"/>
        <s v="Karatoa Express"/>
        <s v="Meghna Transport Ltd."/>
        <s v="Padma Freight Co."/>
        <s v="RDM Carrier Service"/>
        <s v="Sundarban Logistics"/>
      </sharedItems>
    </cacheField>
  </cacheFields>
  <cacheHierarchies count="40">
    <cacheHierarchy uniqueName="[Carriers].[Carrier_ID]" caption="Carrier_ID" attribute="1" defaultMemberUniqueName="[Carriers].[Carrier_ID].[All]" allUniqueName="[Carriers].[Carrier_ID].[All]" dimensionUniqueName="[Carriers]" displayFolder="" count="0" memberValueDatatype="130" unbalanced="0"/>
    <cacheHierarchy uniqueName="[Carriers].[Carrier_Name]" caption="Carrier_Name" attribute="1" defaultMemberUniqueName="[Carriers].[Carrier_Name].[All]" allUniqueName="[Carriers].[Carrier_Name].[All]" dimensionUniqueName="[Carriers]" displayFolder="" count="2" memberValueDatatype="130" unbalanced="0">
      <fieldsUsage count="2">
        <fieldUsage x="-1"/>
        <fieldUsage x="4"/>
      </fieldsUsage>
    </cacheHierarchy>
    <cacheHierarchy uniqueName="[Carriers].[Vehicle_Type]" caption="Vehicle_Type" attribute="1" defaultMemberUniqueName="[Carriers].[Vehicle_Type].[All]" allUniqueName="[Carriers].[Vehicle_Type].[All]" dimensionUniqueName="[Carriers]" displayFolder="" count="0" memberValueDatatype="130" unbalanced="0"/>
    <cacheHierarchy uniqueName="[Carriers].[Base_Rate_per_KM]" caption="Base_Rate_per_KM" attribute="1" defaultMemberUniqueName="[Carriers].[Base_Rate_per_KM].[All]" allUniqueName="[Carriers].[Base_Rate_per_KM].[All]" dimensionUniqueName="[Carriers]" displayFolder="" count="0" memberValueDatatype="5" unbalanced="0"/>
    <cacheHierarchy uniqueName="[Carriers].[Contract_Start_Date]" caption="Contract_Start_Date" attribute="1" time="1" defaultMemberUniqueName="[Carriers].[Contract_Start_Date].[All]" allUniqueName="[Carriers].[Contract_Start_Date].[All]" dimensionUniqueName="[Carriers]" displayFolder="" count="0" memberValueDatatype="7" unbalanced="0"/>
    <cacheHierarchy uniqueName="[Routes].[Route_ID]" caption="Route_ID" attribute="1" defaultMemberUniqueName="[Routes].[Route_ID].[All]" allUniqueName="[Routes].[Route_ID].[All]" dimensionUniqueName="[Routes]" displayFolder="" count="0" memberValueDatatype="2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Routes].[Region_Name]" caption="Region_Name" attribute="1" defaultMemberUniqueName="[Routes].[Region_Name].[All]" allUniqueName="[Routes].[Region_Name].[All]" dimensionUniqueName="[Routes]" displayFolder="" count="0" memberValueDatatype="130" unbalanced="0"/>
    <cacheHierarchy uniqueName="[Routes].[Zone]" caption="Zone" attribute="1" defaultMemberUniqueName="[Routes].[Zone].[All]" allUniqueName="[Routes].[Zone].[All]" dimensionUniqueName="[Routes]" displayFolder="" count="0" memberValueDatatype="130" unbalanced="0"/>
    <cacheHierarchy uniqueName="[Routes].[Avg_Route_Distance_KM]" caption="Avg_Route_Distance_KM" attribute="1" defaultMemberUniqueName="[Routes].[Avg_Route_Distance_KM].[All]" allUniqueName="[Routes].[Avg_Route_Distance_KM].[All]" dimensionUniqueName="[Routes]" displayFolder="" count="0" memberValueDatatype="2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Order_Date]" caption="Order_Date" attribute="1" time="1" defaultMemberUniqueName="[Shipments].[Order_Date].[All]" allUniqueName="[Shipments].[Order_Date].[All]" dimensionUniqueName="[Shipments]" displayFolder="" count="0" memberValueDatatype="7" unbalanced="0"/>
    <cacheHierarchy uniqueName="[Shipments].[Promised_Delivery_Date]" caption="Promised_Delivery_Date" attribute="1" time="1" defaultMemberUniqueName="[Shipments].[Promised_Delivery_Date].[All]" allUniqueName="[Shipments].[Promised_Delivery_Date].[All]" dimensionUniqueName="[Shipments]" displayFolder="" count="0" memberValueDatatype="7" unbalanced="0"/>
    <cacheHierarchy uniqueName="[Shipments].[Actual_Delivery_Date]" caption="Actual_Delivery_Date" attribute="1" time="1" defaultMemberUniqueName="[Shipments].[Actual_Delivery_Date].[All]" allUniqueName="[Shipments].[Actual_Delivery_Date].[All]" dimensionUniqueName="[Shipments]" displayFolder="" count="0" memberValueDatatype="7" unbalanced="0"/>
    <cacheHierarchy uniqueName="[Shipments].[Carrier_ID]" caption="Carrier_ID" attribute="1" defaultMemberUniqueName="[Shipments].[Carrier_ID].[All]" allUniqueName="[Shipments].[Carrier_ID].[All]" dimensionUniqueName="[Shipments]" displayFolder="" count="0" memberValueDatatype="130" unbalanced="0"/>
    <cacheHierarchy uniqueName="[Shipments].[Route_ID]" caption="Route_ID" attribute="1" defaultMemberUniqueName="[Shipments].[Route_ID].[All]" allUniqueName="[Shipments].[Route_ID].[All]" dimensionUniqueName="[Shipments]" displayFolder="" count="0" memberValueDatatype="20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5" unbalanced="0"/>
    <cacheHierarchy uniqueName="[Shipments].[Shipment_Cost]" caption="Shipment_Cost" attribute="1" defaultMemberUniqueName="[Shipments].[Shipment_Cost].[All]" allUniqueName="[Shipments].[Shipment_Cost].[All]" dimensionUniqueName="[Shipments]" displayFolder="" count="0" memberValueDatatype="5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ay_Reason]" caption="Delay_Reason" attribute="1" defaultMemberUniqueName="[Shipments].[Delay_Reason].[All]" allUniqueName="[Shipments].[Delay_Reason].[All]" dimensionUniqueName="[Shipments]" displayFolder="" count="0" memberValueDatatype="130" unbalanced="0"/>
    <cacheHierarchy uniqueName="[Shipments].[Delay_Days]" caption="Delay_Days" attribute="1" defaultMemberUniqueName="[Shipments].[Delay_Days].[All]" allUniqueName="[Shipments].[Delay_Days].[All]" dimensionUniqueName="[Shipments]" displayFolder="" count="0" memberValueDatatype="20" unbalanced="0"/>
    <cacheHierarchy uniqueName="[Shipments].[OTD_Flag]" caption="OTD_Flag" attribute="1" defaultMemberUniqueName="[Shipments].[OTD_Flag].[All]" allUniqueName="[Shipments].[OTD_Flag].[All]" dimensionUniqueName="[Shipments]" displayFolder="" count="2" memberValueDatatype="130" unbalanced="0">
      <fieldsUsage count="2">
        <fieldUsage x="-1"/>
        <fieldUsage x="0"/>
      </fieldsUsage>
    </cacheHierarchy>
    <cacheHierarchy uniqueName="[Shipments].[Cost_per_KM]" caption="Cost_per_KM" attribute="1" defaultMemberUniqueName="[Shipments].[Cost_per_KM].[All]" allUniqueName="[Shipments].[Cost_per_KM].[All]" dimensionUniqueName="[Shipments]" displayFolder="" count="0" memberValueDatatype="5" unbalanced="0"/>
    <cacheHierarchy uniqueName="[Shipments].[Order_DayOfWeek]" caption="Order_DayOfWeek" attribute="1" defaultMemberUniqueName="[Shipments].[Order_DayOfWeek].[All]" allUniqueName="[Shipments].[Order_DayOfWeek].[All]" dimensionUniqueName="[Shipments]" displayFolder="" count="0" memberValueDatatype="130" unbalanced="0"/>
    <cacheHierarchy uniqueName="[Shipments].[Order_Date (Year)]" caption="Order_Date (Year)" attribute="1" defaultMemberUniqueName="[Shipments].[Order_Date (Year)].[All]" allUniqueName="[Shipments].[Order_Date (Year)].[All]" dimensionUniqueName="[Shipments]" displayFolder="" count="0" memberValueDatatype="130" unbalanced="0"/>
    <cacheHierarchy uniqueName="[Shipments].[Order_Date (Quarter)]" caption="Order_Date (Quarter)" attribute="1" defaultMemberUniqueName="[Shipments].[Order_Date (Quarter)].[All]" allUniqueName="[Shipments].[Order_Date (Quarter)].[All]" dimensionUniqueName="[Shipments]" displayFolder="" count="0" memberValueDatatype="130" unbalanced="0"/>
    <cacheHierarchy uniqueName="[Shipments].[Order_Date (Month)]" caption="Order_Date (Month)" attribute="1" defaultMemberUniqueName="[Shipments].[Order_Date (Month)].[All]" allUniqueName="[Shipments].[Order_Date (Month)].[All]" dimensionUniqueName="[Shipments]" displayFolder="" count="0" memberValueDatatype="130" unbalanced="0"/>
    <cacheHierarchy uniqueName="[Shipments].[Order_Date (Month Index)]" caption="Order_Date (Month Index)" attribute="1" defaultMemberUniqueName="[Shipments].[Order_Date (Month Index)].[All]" allUniqueName="[Shipments].[Order_Date (Month Index)].[All]" dimensionUniqueName="[Shipments]" displayFolder="" count="0" memberValueDatatype="20" unbalanced="0" hidden="1"/>
    <cacheHierarchy uniqueName="[Measures].[Count of Shipment_ID]" caption="Count of Shipment_ID" measure="1" displayFolder="" measureGroup="Shipment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TD_Flag]" caption="Count of OTD_Flag" measure="1" displayFolder="" measureGroup="Shipmen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hipment_Cost]" caption="Sum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ment_Cost]" caption="Average of Shipment_Cost" measure="1" displayFolder="" measureGroup="Shipment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Delay_Days]" caption="Sum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elay_Days]" caption="Average of Delay_Days" measure="1" displayFolder="" measureGroup="Shipment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Late %]" caption="Late %" measure="1" displayFolder="" measureGroup="Shipments" count="0"/>
    <cacheHierarchy uniqueName="[Measures].[__XL_Count Shipments]" caption="__XL_Count Shipments" measure="1" displayFolder="" measureGroup="Shipments" count="0" hidden="1"/>
    <cacheHierarchy uniqueName="[Measures].[__XL_Count Routes]" caption="__XL_Count Routes" measure="1" displayFolder="" measureGroup="Routes" count="0" hidden="1"/>
    <cacheHierarchy uniqueName="[Measures].[__XL_Count Carriers]" caption="__XL_Count Carriers" measure="1" displayFolder="" measureGroup="Carriers" count="0" hidden="1"/>
    <cacheHierarchy uniqueName="[Measures].[__No measures defined]" caption="__No measures defined" measure="1" displayFolder="" count="0" hidden="1"/>
  </cacheHierarchies>
  <kpis count="0"/>
  <dimensions count="4">
    <dimension name="Carriers" uniqueName="[Carriers]" caption="Carriers"/>
    <dimension measure="1" name="Measures" uniqueName="[Measures]" caption="Measures"/>
    <dimension name="Routes" uniqueName="[Routes]" caption="Routes"/>
    <dimension name="Shipments" uniqueName="[Shipments]" caption="Shipments"/>
  </dimensions>
  <measureGroups count="3">
    <measureGroup name="Carriers" caption="Carriers"/>
    <measureGroup name="Routes" caption="Routes"/>
    <measureGroup name="Shipments" caption="Shipment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SUBORNA" refreshedDate="46209.266418749998" backgroundQuery="1" createdVersion="6" refreshedVersion="6" minRefreshableVersion="3" recordCount="0" supportSubquery="1" supportAdvancedDrill="1">
  <cacheSource type="external" connectionId="4"/>
  <cacheFields count="2">
    <cacheField name="[Shipments].[Order_DayOfWeek].[Order_DayOfWeek]" caption="Order_DayOfWeek" numFmtId="0" hierarchy="24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Late %]" caption="Late %" numFmtId="0" hierarchy="35" level="32767"/>
  </cacheFields>
  <cacheHierarchies count="40">
    <cacheHierarchy uniqueName="[Carriers].[Carrier_ID]" caption="Carrier_ID" attribute="1" defaultMemberUniqueName="[Carriers].[Carrier_ID].[All]" allUniqueName="[Carriers].[Carrier_ID].[All]" dimensionUniqueName="[Carriers]" displayFolder="" count="0" memberValueDatatype="130" unbalanced="0"/>
    <cacheHierarchy uniqueName="[Carriers].[Carrier_Name]" caption="Carrier_Name" attribute="1" defaultMemberUniqueName="[Carriers].[Carrier_Name].[All]" allUniqueName="[Carriers].[Carrier_Name].[All]" dimensionUniqueName="[Carriers]" displayFolder="" count="0" memberValueDatatype="130" unbalanced="0"/>
    <cacheHierarchy uniqueName="[Carriers].[Vehicle_Type]" caption="Vehicle_Type" attribute="1" defaultMemberUniqueName="[Carriers].[Vehicle_Type].[All]" allUniqueName="[Carriers].[Vehicle_Type].[All]" dimensionUniqueName="[Carriers]" displayFolder="" count="0" memberValueDatatype="130" unbalanced="0"/>
    <cacheHierarchy uniqueName="[Carriers].[Base_Rate_per_KM]" caption="Base_Rate_per_KM" attribute="1" defaultMemberUniqueName="[Carriers].[Base_Rate_per_KM].[All]" allUniqueName="[Carriers].[Base_Rate_per_KM].[All]" dimensionUniqueName="[Carriers]" displayFolder="" count="0" memberValueDatatype="5" unbalanced="0"/>
    <cacheHierarchy uniqueName="[Carriers].[Contract_Start_Date]" caption="Contract_Start_Date" attribute="1" time="1" defaultMemberUniqueName="[Carriers].[Contract_Start_Date].[All]" allUniqueName="[Carriers].[Contract_Start_Date].[All]" dimensionUniqueName="[Carriers]" displayFolder="" count="0" memberValueDatatype="7" unbalanced="0"/>
    <cacheHierarchy uniqueName="[Routes].[Route_ID]" caption="Route_ID" attribute="1" defaultMemberUniqueName="[Routes].[Route_ID].[All]" allUniqueName="[Routes].[Route_ID].[All]" dimensionUniqueName="[Routes]" displayFolder="" count="0" memberValueDatatype="20" unbalanced="0"/>
    <cacheHierarchy uniqueName="[Routes].[Route_Name]" caption="Route_Name" attribute="1" defaultMemberUniqueName="[Routes].[Route_Name].[All]" allUniqueName="[Routes].[Route_Name].[All]" dimensionUniqueName="[Routes]" displayFolder="" count="0" memberValueDatatype="130" unbalanced="0"/>
    <cacheHierarchy uniqueName="[Routes].[Region_Name]" caption="Region_Name" attribute="1" defaultMemberUniqueName="[Routes].[Region_Name].[All]" allUniqueName="[Routes].[Region_Name].[All]" dimensionUniqueName="[Routes]" displayFolder="" count="0" memberValueDatatype="130" unbalanced="0"/>
    <cacheHierarchy uniqueName="[Routes].[Zone]" caption="Zone" attribute="1" defaultMemberUniqueName="[Routes].[Zone].[All]" allUniqueName="[Routes].[Zone].[All]" dimensionUniqueName="[Routes]" displayFolder="" count="0" memberValueDatatype="130" unbalanced="0"/>
    <cacheHierarchy uniqueName="[Routes].[Avg_Route_Distance_KM]" caption="Avg_Route_Distance_KM" attribute="1" defaultMemberUniqueName="[Routes].[Avg_Route_Distance_KM].[All]" allUniqueName="[Routes].[Avg_Route_Distance_KM].[All]" dimensionUniqueName="[Routes]" displayFolder="" count="0" memberValueDatatype="20" unbalanced="0"/>
    <cacheHierarchy uniqueName="[Shipments].[Shipment_ID]" caption="Shipment_ID" attribute="1" defaultMemberUniqueName="[Shipments].[Shipment_ID].[All]" allUniqueName="[Shipments].[Shipment_ID].[All]" dimensionUniqueName="[Shipments]" displayFolder="" count="0" memberValueDatatype="130" unbalanced="0"/>
    <cacheHierarchy uniqueName="[Shipments].[Order_Date]" caption="Order_Date" attribute="1" time="1" defaultMemberUniqueName="[Shipments].[Order_Date].[All]" allUniqueName="[Shipments].[Order_Date].[All]" dimensionUniqueName="[Shipments]" displayFolder="" count="0" memberValueDatatype="7" unbalanced="0"/>
    <cacheHierarchy uniqueName="[Shipments].[Promised_Delivery_Date]" caption="Promised_Delivery_Date" attribute="1" time="1" defaultMemberUniqueName="[Shipments].[Promised_Delivery_Date].[All]" allUniqueName="[Shipments].[Promised_Delivery_Date].[All]" dimensionUniqueName="[Shipments]" displayFolder="" count="0" memberValueDatatype="7" unbalanced="0"/>
    <cacheHierarchy uniqueName="[Shipments].[Actual_Delivery_Date]" caption="Actual_Delivery_Date" attribute="1" time="1" defaultMemberUniqueName="[Shipments].[Actual_Delivery_Date].[All]" allUniqueName="[Shipments].[Actual_Delivery_Date].[All]" dimensionUniqueName="[Shipments]" displayFolder="" count="0" memberValueDatatype="7" unbalanced="0"/>
    <cacheHierarchy uniqueName="[Shipments].[Carrier_ID]" caption="Carrier_ID" attribute="1" defaultMemberUniqueName="[Shipments].[Carrier_ID].[All]" allUniqueName="[Shipments].[Carrier_ID].[All]" dimensionUniqueName="[Shipments]" displayFolder="" count="0" memberValueDatatype="130" unbalanced="0"/>
    <cacheHierarchy uniqueName="[Shipments].[Route_ID]" caption="Route_ID" attribute="1" defaultMemberUniqueName="[Shipments].[Route_ID].[All]" allUniqueName="[Shipments].[Route_ID].[All]" dimensionUniqueName="[Shipments]" displayFolder="" count="0" memberValueDatatype="20" unbalanced="0"/>
    <cacheHierarchy uniqueName="[Shipments].[Distance_KM]" caption="Distance_KM" attribute="1" defaultMemberUniqueName="[Shipments].[Distance_KM].[All]" allUniqueName="[Shipments].[Distance_KM].[All]" dimensionUniqueName="[Shipments]" displayFolder="" count="0" memberValueDatatype="5" unbalanced="0"/>
    <cacheHierarchy uniqueName="[Shipments].[Shipment_Cost]" caption="Shipment_Cost" attribute="1" defaultMemberUniqueName="[Shipments].[Shipment_Cost].[All]" allUniqueName="[Shipments].[Shipment_Cost].[All]" dimensionUniqueName="[Shipments]" displayFolder="" count="0" memberValueDatatype="5" unbalanced="0"/>
    <cacheHierarchy uniqueName="[Shipments].[Weight_KG]" caption="Weight_KG" attribute="1" defaultMemberUniqueName="[Shipments].[Weight_KG].[All]" allUniqueName="[Shipments].[Weight_KG].[All]" dimensionUniqueName="[Shipments]" displayFolder="" count="0" memberValueDatatype="5" unbalanced="0"/>
    <cacheHierarchy uniqueName="[Shipments].[Status]" caption="Status" attribute="1" defaultMemberUniqueName="[Shipments].[Status].[All]" allUniqueName="[Shipments].[Status].[All]" dimensionUniqueName="[Shipments]" displayFolder="" count="0" memberValueDatatype="130" unbalanced="0"/>
    <cacheHierarchy uniqueName="[Shipments].[Delay_Reason]" caption="Delay_Reason" attribute="1" defaultMemberUniqueName="[Shipments].[Delay_Reason].[All]" allUniqueName="[Shipments].[Delay_Reason].[All]" dimensionUniqueName="[Shipments]" displayFolder="" count="0" memberValueDatatype="130" unbalanced="0"/>
    <cacheHierarchy uniqueName="[Shipments].[Delay_Days]" caption="Delay_Days" attribute="1" defaultMemberUniqueName="[Shipments].[Delay_Days].[All]" allUniqueName="[Shipments].[Delay_Days].[All]" dimensionUniqueName="[Shipments]" displayFolder="" count="0" memberValueDatatype="20" unbalanced="0"/>
    <cacheHierarchy uniqueName="[Shipments].[OTD_Flag]" caption="OTD_Flag" attribute="1" defaultMemberUniqueName="[Shipments].[OTD_Flag].[All]" allUniqueName="[Shipments].[OTD_Flag].[All]" dimensionUniqueName="[Shipments]" displayFolder="" count="0" memberValueDatatype="130" unbalanced="0"/>
    <cacheHierarchy uniqueName="[Shipments].[Cost_per_KM]" caption="Cost_per_KM" attribute="1" defaultMemberUniqueName="[Shipments].[Cost_per_KM].[All]" allUniqueName="[Shipments].[Cost_per_KM].[All]" dimensionUniqueName="[Shipments]" displayFolder="" count="0" memberValueDatatype="5" unbalanced="0"/>
    <cacheHierarchy uniqueName="[Shipments].[Order_DayOfWeek]" caption="Order_DayOfWeek" attribute="1" defaultMemberUniqueName="[Shipments].[Order_DayOfWeek].[All]" allUniqueName="[Shipments].[Order_DayOfWeek].[All]" dimensionUniqueName="[Shipments]" displayFolder="" count="2" memberValueDatatype="130" unbalanced="0">
      <fieldsUsage count="2">
        <fieldUsage x="-1"/>
        <fieldUsage x="0"/>
      </fieldsUsage>
    </cacheHierarchy>
    <cacheHierarchy uniqueName="[Shipments].[Order_Date (Year)]" caption="Order_Date (Year)" attribute="1" defaultMemberUniqueName="[Shipments].[Order_Date (Year)].[All]" allUniqueName="[Shipments].[Order_Date (Year)].[All]" dimensionUniqueName="[Shipments]" displayFolder="" count="0" memberValueDatatype="130" unbalanced="0"/>
    <cacheHierarchy uniqueName="[Shipments].[Order_Date (Quarter)]" caption="Order_Date (Quarter)" attribute="1" defaultMemberUniqueName="[Shipments].[Order_Date (Quarter)].[All]" allUniqueName="[Shipments].[Order_Date (Quarter)].[All]" dimensionUniqueName="[Shipments]" displayFolder="" count="0" memberValueDatatype="130" unbalanced="0"/>
    <cacheHierarchy uniqueName="[Shipments].[Order_Date (Month)]" caption="Order_Date (Month)" attribute="1" defaultMemberUniqueName="[Shipments].[Order_Date (Month)].[All]" allUniqueName="[Shipments].[Order_Date (Month)].[All]" dimensionUniqueName="[Shipments]" displayFolder="" count="0" memberValueDatatype="130" unbalanced="0"/>
    <cacheHierarchy uniqueName="[Shipments].[Order_Date (Month Index)]" caption="Order_Date (Month Index)" attribute="1" defaultMemberUniqueName="[Shipments].[Order_Date (Month Index)].[All]" allUniqueName="[Shipments].[Order_Date (Month Index)].[All]" dimensionUniqueName="[Shipments]" displayFolder="" count="0" memberValueDatatype="20" unbalanced="0" hidden="1"/>
    <cacheHierarchy uniqueName="[Measures].[Count of Shipment_ID]" caption="Count of Shipment_ID" measure="1" displayFolder="" measureGroup="Shipment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TD_Flag]" caption="Count of OTD_Flag" measure="1" displayFolder="" measureGroup="Shipments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Shipment_Cost]" caption="Sum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Shipment_Cost]" caption="Average of Shipment_Cost" measure="1" displayFolder="" measureGroup="Shipments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Delay_Days]" caption="Sum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elay_Days]" caption="Average of Delay_Days" measure="1" displayFolder="" measureGroup="Shipment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Late %]" caption="Late %" measure="1" displayFolder="" measureGroup="Shipments" count="0" oneField="1">
      <fieldsUsage count="1">
        <fieldUsage x="1"/>
      </fieldsUsage>
    </cacheHierarchy>
    <cacheHierarchy uniqueName="[Measures].[__XL_Count Shipments]" caption="__XL_Count Shipments" measure="1" displayFolder="" measureGroup="Shipments" count="0" hidden="1"/>
    <cacheHierarchy uniqueName="[Measures].[__XL_Count Routes]" caption="__XL_Count Routes" measure="1" displayFolder="" measureGroup="Routes" count="0" hidden="1"/>
    <cacheHierarchy uniqueName="[Measures].[__XL_Count Carriers]" caption="__XL_Count Carriers" measure="1" displayFolder="" measureGroup="Carriers" count="0" hidden="1"/>
    <cacheHierarchy uniqueName="[Measures].[__No measures defined]" caption="__No measures defined" measure="1" displayFolder="" count="0" hidden="1"/>
  </cacheHierarchies>
  <kpis count="0"/>
  <dimensions count="4">
    <dimension name="Carriers" uniqueName="[Carriers]" caption="Carriers"/>
    <dimension measure="1" name="Measures" uniqueName="[Measures]" caption="Measures"/>
    <dimension name="Routes" uniqueName="[Routes]" caption="Routes"/>
    <dimension name="Shipments" uniqueName="[Shipments]" caption="Shipments"/>
  </dimensions>
  <measureGroups count="3">
    <measureGroup name="Carriers" caption="Carriers"/>
    <measureGroup name="Routes" caption="Routes"/>
    <measureGroup name="Shipments" caption="Shipment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name="PivotTable3" cacheId="512" applyNumberFormats="0" applyBorderFormats="0" applyFontFormats="0" applyPatternFormats="0" applyAlignmentFormats="0" applyWidthHeightFormats="1" dataCaption="Values" tag="bd167b9a-e16d-4f46-b72e-2043d831f852" updatedVersion="6" minRefreshableVersion="3" useAutoFormatting="1" itemPrintTitles="1" createdVersion="6" indent="0" outline="1" outlineData="1" multipleFieldFilters="0" chartFormat="8">
  <location ref="B2:E18" firstHeaderRow="1" firstDataRow="2" firstDataCol="1"/>
  <pivotFields count="4">
    <pivotField axis="axisRow" allDrilled="1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allDrilled="1" showAll="0" dataSourceSort="1">
      <items count="3">
        <item x="0"/>
        <item x="1"/>
        <item t="default"/>
      </items>
    </pivotField>
    <pivotField axis="axisCol" allDrilled="1" showAll="0" dataSourceSort="1" defaultAttributeDrillState="1">
      <items count="4">
        <item s="1" x="0"/>
        <item s="1" x="1"/>
        <item x="2"/>
        <item t="default"/>
      </items>
    </pivotField>
    <pivotField dataField="1" showAll="0"/>
  </pivotFields>
  <rowFields count="2">
    <field x="1"/>
    <field x="0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hipment_ID" fld="3" subtotal="count" showDataAs="percentOfRow" baseField="0" baseItem="0" numFmtId="10"/>
  </dataFields>
  <formats count="8">
    <format dxfId="108">
      <pivotArea collapsedLevelsAreSubtotals="1" fieldPosition="0">
        <references count="2">
          <reference field="1" count="1">
            <x v="0"/>
          </reference>
          <reference field="2" count="1" selected="0">
            <x v="1"/>
          </reference>
        </references>
      </pivotArea>
    </format>
    <format dxfId="107">
      <pivotArea collapsedLevelsAreSubtotals="1" fieldPosition="0">
        <references count="3">
          <reference field="0" count="6">
            <x v="0"/>
            <x v="1"/>
            <x v="2"/>
            <x v="3"/>
            <x v="4"/>
            <x v="5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106">
      <pivotArea collapsedLevelsAreSubtotals="1" fieldPosition="0">
        <references count="2">
          <reference field="1" count="1">
            <x v="1"/>
          </reference>
          <reference field="2" count="1" selected="0">
            <x v="1"/>
          </reference>
        </references>
      </pivotArea>
    </format>
    <format dxfId="105">
      <pivotArea collapsedLevelsAreSubtotals="1" fieldPosition="0">
        <references count="3">
          <reference field="0" count="6">
            <x v="6"/>
            <x v="7"/>
            <x v="8"/>
            <x v="9"/>
            <x v="10"/>
            <x v="11"/>
          </reference>
          <reference field="1" count="1" selected="0">
            <x v="1"/>
          </reference>
          <reference field="2" count="1" selected="0">
            <x v="1"/>
          </reference>
        </references>
      </pivotArea>
    </format>
    <format dxfId="104">
      <pivotArea collapsedLevelsAreSubtotals="1" fieldPosition="0">
        <references count="2">
          <reference field="1" count="1">
            <x v="0"/>
          </reference>
          <reference field="2" count="1" selected="0">
            <x v="0"/>
          </reference>
        </references>
      </pivotArea>
    </format>
    <format dxfId="103">
      <pivotArea collapsedLevelsAreSubtotals="1" fieldPosition="0">
        <references count="3">
          <reference field="0" count="6">
            <x v="0"/>
            <x v="1"/>
            <x v="2"/>
            <x v="3"/>
            <x v="4"/>
            <x v="5"/>
          </reference>
          <reference field="1" count="1" selected="0">
            <x v="0"/>
          </reference>
          <reference field="2" count="1" selected="0">
            <x v="0"/>
          </reference>
        </references>
      </pivotArea>
    </format>
    <format dxfId="102">
      <pivotArea collapsedLevelsAreSubtotals="1" fieldPosition="0">
        <references count="2">
          <reference field="1" count="1">
            <x v="1"/>
          </reference>
          <reference field="2" count="1" selected="0">
            <x v="0"/>
          </reference>
        </references>
      </pivotArea>
    </format>
    <format dxfId="101">
      <pivotArea collapsedLevelsAreSubtotals="1" fieldPosition="0">
        <references count="3">
          <reference field="0" count="6">
            <x v="6"/>
            <x v="7"/>
            <x v="8"/>
            <x v="9"/>
            <x v="10"/>
            <x v="11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</formats>
  <chartFormats count="5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5"/>
    <rowHierarchyUsage hierarchyUsage="27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513" applyNumberFormats="0" applyBorderFormats="0" applyFontFormats="0" applyPatternFormats="0" applyAlignmentFormats="0" applyWidthHeightFormats="1" dataCaption="Values" tag="c00ce336-e9c7-48b0-bfbc-b78c43205c88" updatedVersion="6" minRefreshableVersion="3" useAutoFormatting="1" itemPrintTitles="1" createdVersion="6" indent="0" outline="1" outlineData="1" multipleFieldFilters="0">
  <location ref="B2:F21" firstHeaderRow="0" firstDataRow="1" firstDataCol="1"/>
  <pivotFields count="6"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  <pivotField axis="axisRow" allDrilled="1" showAll="0" dataSourceSort="1" defaultAttributeDrillState="1">
      <items count="3">
        <item s="1" x="0"/>
        <item s="1" x="1"/>
        <item t="default"/>
      </items>
    </pivotField>
    <pivotField dataField="1" showAll="0"/>
  </pivotFields>
  <rowFields count="2">
    <field x="0"/>
    <field x="4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hipment_ID" fld="1" subtotal="count" baseField="0" baseItem="0"/>
    <dataField name="Average of Delay_Days" fld="2" subtotal="average" baseField="0" baseItem="0"/>
    <dataField name="Average of Shipment_Cost" fld="3" subtotal="average" baseField="0" baseItem="0"/>
    <dataField name="Count of OTD_Flag" fld="5" subtotal="count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2">
    <format dxfId="100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9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8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7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6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5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4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3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2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1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90">
      <pivotArea collapsedLevelsAreSubtotals="1" fieldPosition="0">
        <references count="2">
          <reference field="4294967294" count="2" selected="0">
            <x v="1"/>
            <x v="2"/>
          </reference>
          <reference field="0" count="0"/>
        </references>
      </pivotArea>
    </format>
    <format dxfId="89">
      <pivotArea outline="0" fieldPosition="0">
        <references count="1">
          <reference field="4294967294" count="1">
            <x v="3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Late %"/>
    <pivotHierarchy dragToData="1"/>
    <pivotHierarchy dragToData="1" caption="Average of Shipment_Cost"/>
    <pivotHierarchy dragToData="1"/>
    <pivotHierarchy dragToData="1" caption="Average of Delay_Day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2">
    <rowHierarchyUsage hierarchyUsage="1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rriers]"/>
        <x15:activeTabTopLevelEntity name="[Shipments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2" cacheId="5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2:H13" firstHeaderRow="0" firstDataRow="1" firstDataCol="1"/>
  <pivotFields count="4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axis="axisRow" allDrilled="1" showAll="0" dataSourceSort="1" defaultAttributeDrillState="1">
      <items count="2">
        <item s="1" x="0"/>
        <item t="default"/>
      </items>
    </pivotField>
  </pivotFields>
  <rowFields count="2">
    <field x="0"/>
    <field x="3"/>
  </rowFields>
  <rowItems count="11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1" subtotal="count" baseField="0" baseItem="0"/>
    <dataField name="Average of Delay_Days" fld="2" subtotal="average" baseField="0" baseItem="0"/>
  </dataFields>
  <formats count="7">
    <format dxfId="77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6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5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4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ay_Day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2">
    <rowHierarchyUsage hierarchyUsage="7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Shipments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" cacheId="5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:D8" firstHeaderRow="0" firstDataRow="1" firstDataCol="1"/>
  <pivotFields count="4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allDrilled="1" showAll="0" dataSourceSort="1" defaultAttributeDrillState="1">
      <items count="2">
        <item s="1"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hipment_ID" fld="1" subtotal="count" baseField="0" baseItem="0"/>
    <dataField name="Average of Delay_Days" fld="2" subtotal="average" baseField="0" baseItem="0"/>
  </dataFields>
  <formats count="7">
    <format dxfId="84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83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82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81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8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9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78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ay_Day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Shipments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8" cacheId="5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23:F49" firstHeaderRow="1" firstDataRow="1" firstDataCol="1"/>
  <pivotFields count="4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Row" allDrilled="1" showAll="0" dataSourceSort="1" defaultAttributeDrillState="1">
      <items count="2">
        <item s="1" x="0"/>
        <item t="default"/>
      </items>
    </pivotField>
  </pivotFields>
  <rowFields count="3">
    <field x="0"/>
    <field x="1"/>
    <field x="3"/>
  </rowFields>
  <rowItems count="26">
    <i>
      <x/>
    </i>
    <i r="1">
      <x/>
    </i>
    <i r="2">
      <x/>
    </i>
    <i r="1">
      <x v="1"/>
    </i>
    <i r="2">
      <x/>
    </i>
    <i>
      <x v="1"/>
    </i>
    <i r="1">
      <x v="2"/>
    </i>
    <i r="2">
      <x/>
    </i>
    <i r="1">
      <x v="3"/>
    </i>
    <i r="2">
      <x/>
    </i>
    <i>
      <x v="2"/>
    </i>
    <i r="1">
      <x v="4"/>
    </i>
    <i r="2">
      <x/>
    </i>
    <i r="1">
      <x v="5"/>
    </i>
    <i r="2">
      <x/>
    </i>
    <i>
      <x v="3"/>
    </i>
    <i r="1">
      <x v="6"/>
    </i>
    <i r="2">
      <x/>
    </i>
    <i r="1">
      <x v="7"/>
    </i>
    <i r="2">
      <x/>
    </i>
    <i>
      <x v="4"/>
    </i>
    <i r="1">
      <x v="8"/>
    </i>
    <i r="2">
      <x/>
    </i>
    <i r="1">
      <x v="9"/>
    </i>
    <i r="2">
      <x/>
    </i>
    <i t="grand">
      <x/>
    </i>
  </rowItems>
  <colItems count="1">
    <i/>
  </colItems>
  <dataFields count="1">
    <dataField name="Count of Shipment_ID" fld="2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3">
    <rowHierarchyUsage hierarchyUsage="7"/>
    <rowHierarchyUsage hierarchyUsage="6"/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Shipments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7" cacheId="5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3:C39" firstHeaderRow="1" firstDataRow="1" firstDataCol="1"/>
  <pivotFields count="3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2">
    <field x="0"/>
    <field x="1"/>
  </rowFields>
  <rowItems count="16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>
      <x v="3"/>
    </i>
    <i r="1">
      <x v="6"/>
    </i>
    <i r="1">
      <x v="7"/>
    </i>
    <i>
      <x v="4"/>
    </i>
    <i r="1">
      <x v="8"/>
    </i>
    <i r="1">
      <x v="9"/>
    </i>
    <i t="grand">
      <x/>
    </i>
  </rowItems>
  <colItems count="1">
    <i/>
  </colItems>
  <dataFields count="1">
    <dataField name="Count of Shipment_ID" fld="2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2"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outes]"/>
        <x15:activeTabTopLevelEntity name="[Shipments]"/>
      </x15:pivotTableUISettings>
    </ext>
  </extLst>
</pivotTableDefinition>
</file>

<file path=xl/pivotTables/pivotTable7.xml><?xml version="1.0" encoding="utf-8"?>
<pivotTableDefinition xmlns="http://schemas.openxmlformats.org/spreadsheetml/2006/main" name="PivotTable3" cacheId="5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2:E21" firstHeaderRow="0" firstDataRow="1" firstDataCol="1"/>
  <pivotFields count="5">
    <pivotField axis="axisRow" allDrilled="1" showAll="0" dataSourceSort="1" defaultAttributeDrillState="1">
      <items count="3">
        <item s="1" x="0"/>
        <item s="1" x="1"/>
        <item t="default"/>
      </items>
    </pivotField>
    <pivotField dataField="1" showAll="0"/>
    <pivotField dataField="1" showAll="0"/>
    <pivotField dataField="1" showAll="0"/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</pivotFields>
  <rowFields count="2">
    <field x="4"/>
    <field x="0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hipment_Cost" fld="2" subtotal="average" baseField="0" baseItem="0"/>
    <dataField name="Average of Delay_Days" fld="3" subtotal="average" baseField="0" baseItem="0"/>
    <dataField name="Count of Shipment_ID" fld="1" subtotal="count" baseField="0" baseItem="0"/>
  </dataFields>
  <formats count="60">
    <format dxfId="65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0"/>
          </reference>
        </references>
      </pivotArea>
    </format>
    <format dxfId="64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0"/>
          </reference>
        </references>
      </pivotArea>
    </format>
    <format dxfId="63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1"/>
          </reference>
        </references>
      </pivotArea>
    </format>
    <format dxfId="62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1"/>
          </reference>
        </references>
      </pivotArea>
    </format>
    <format dxfId="61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2"/>
          </reference>
        </references>
      </pivotArea>
    </format>
    <format dxfId="60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2"/>
          </reference>
        </references>
      </pivotArea>
    </format>
    <format dxfId="59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3"/>
          </reference>
        </references>
      </pivotArea>
    </format>
    <format dxfId="58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3"/>
          </reference>
        </references>
      </pivotArea>
    </format>
    <format dxfId="57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4"/>
          </reference>
        </references>
      </pivotArea>
    </format>
    <format dxfId="56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4"/>
          </reference>
        </references>
      </pivotArea>
    </format>
    <format dxfId="55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5"/>
          </reference>
        </references>
      </pivotArea>
    </format>
    <format dxfId="54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5"/>
          </reference>
        </references>
      </pivotArea>
    </format>
    <format dxfId="53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0"/>
          </reference>
        </references>
      </pivotArea>
    </format>
    <format dxfId="52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0"/>
          </reference>
        </references>
      </pivotArea>
    </format>
    <format dxfId="51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1"/>
          </reference>
        </references>
      </pivotArea>
    </format>
    <format dxfId="50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1"/>
          </reference>
        </references>
      </pivotArea>
    </format>
    <format dxfId="49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2"/>
          </reference>
        </references>
      </pivotArea>
    </format>
    <format dxfId="48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2"/>
          </reference>
        </references>
      </pivotArea>
    </format>
    <format dxfId="47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3"/>
          </reference>
        </references>
      </pivotArea>
    </format>
    <format dxfId="46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3"/>
          </reference>
        </references>
      </pivotArea>
    </format>
    <format dxfId="45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4"/>
          </reference>
        </references>
      </pivotArea>
    </format>
    <format dxfId="44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4"/>
          </reference>
        </references>
      </pivotArea>
    </format>
    <format dxfId="43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5"/>
          </reference>
        </references>
      </pivotArea>
    </format>
    <format dxfId="42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5"/>
          </reference>
        </references>
      </pivotArea>
    </format>
    <format dxfId="41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0"/>
          </reference>
        </references>
      </pivotArea>
    </format>
    <format dxfId="40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0"/>
          </reference>
        </references>
      </pivotArea>
    </format>
    <format dxfId="39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1"/>
          </reference>
        </references>
      </pivotArea>
    </format>
    <format dxfId="38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1"/>
          </reference>
        </references>
      </pivotArea>
    </format>
    <format dxfId="37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2"/>
          </reference>
        </references>
      </pivotArea>
    </format>
    <format dxfId="36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2"/>
          </reference>
        </references>
      </pivotArea>
    </format>
    <format dxfId="35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3"/>
          </reference>
        </references>
      </pivotArea>
    </format>
    <format dxfId="34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3"/>
          </reference>
        </references>
      </pivotArea>
    </format>
    <format dxfId="33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4"/>
          </reference>
        </references>
      </pivotArea>
    </format>
    <format dxfId="32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4"/>
          </reference>
        </references>
      </pivotArea>
    </format>
    <format dxfId="31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5"/>
          </reference>
        </references>
      </pivotArea>
    </format>
    <format dxfId="30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5"/>
          </reference>
        </references>
      </pivotArea>
    </format>
    <format dxfId="29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0"/>
          </reference>
        </references>
      </pivotArea>
    </format>
    <format dxfId="28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0"/>
          </reference>
        </references>
      </pivotArea>
    </format>
    <format dxfId="27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1"/>
          </reference>
        </references>
      </pivotArea>
    </format>
    <format dxfId="26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1"/>
          </reference>
        </references>
      </pivotArea>
    </format>
    <format dxfId="25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2"/>
          </reference>
        </references>
      </pivotArea>
    </format>
    <format dxfId="24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2"/>
          </reference>
        </references>
      </pivotArea>
    </format>
    <format dxfId="23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3"/>
          </reference>
        </references>
      </pivotArea>
    </format>
    <format dxfId="22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3"/>
          </reference>
        </references>
      </pivotArea>
    </format>
    <format dxfId="21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4"/>
          </reference>
        </references>
      </pivotArea>
    </format>
    <format dxfId="20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4"/>
          </reference>
        </references>
      </pivotArea>
    </format>
    <format dxfId="19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5"/>
          </reference>
        </references>
      </pivotArea>
    </format>
    <format dxfId="18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5"/>
          </reference>
        </references>
      </pivotArea>
    </format>
    <format dxfId="17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0"/>
          </reference>
        </references>
      </pivotArea>
    </format>
    <format dxfId="16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0"/>
          </reference>
        </references>
      </pivotArea>
    </format>
    <format dxfId="15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1"/>
          </reference>
        </references>
      </pivotArea>
    </format>
    <format dxfId="14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1"/>
          </reference>
        </references>
      </pivotArea>
    </format>
    <format dxfId="13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2"/>
          </reference>
        </references>
      </pivotArea>
    </format>
    <format dxfId="12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2"/>
          </reference>
        </references>
      </pivotArea>
    </format>
    <format dxfId="11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3"/>
          </reference>
        </references>
      </pivotArea>
    </format>
    <format dxfId="10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3"/>
          </reference>
        </references>
      </pivotArea>
    </format>
    <format dxfId="9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4"/>
          </reference>
        </references>
      </pivotArea>
    </format>
    <format dxfId="8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4"/>
          </reference>
        </references>
      </pivotArea>
    </format>
    <format dxfId="7">
      <pivotArea collapsedLevelsAreSubtotals="1" fieldPosition="0">
        <references count="2">
          <reference field="4294967294" count="2" selected="0">
            <x v="0"/>
            <x v="1"/>
          </reference>
          <reference field="4" count="1">
            <x v="5"/>
          </reference>
        </references>
      </pivotArea>
    </format>
    <format dxfId="6">
      <pivotArea collapsedLevelsAreSubtotals="1" fieldPosition="0">
        <references count="3">
          <reference field="4294967294" count="2" selected="0">
            <x v="0"/>
            <x v="1"/>
          </reference>
          <reference field="0" count="0"/>
          <reference field="4" count="1" selected="0">
            <x v="5"/>
          </reference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hipment_Cost"/>
    <pivotHierarchy dragToData="1"/>
    <pivotHierarchy dragToData="1" caption="Average of Delay_Day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  <x15:activeTabTopLevelEntity name="[Carriers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8" cacheId="519" applyNumberFormats="0" applyBorderFormats="0" applyFontFormats="0" applyPatternFormats="0" applyAlignmentFormats="0" applyWidthHeightFormats="1" dataCaption="Values" tag="677a3fcf-5030-4444-b02b-9d26f2a110f9" updatedVersion="6" minRefreshableVersion="3" useAutoFormatting="1" subtotalHiddenItems="1" itemPrintTitles="1" createdVersion="6" indent="0" outline="1" outlineData="1" multipleFieldFilters="0" chartFormat="1">
  <location ref="B2:C10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formats count="1">
    <format dxfId="2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Delay_Day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7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ipments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B24:C30" totalsRowShown="0" headerRowDxfId="88" dataDxfId="87">
  <autoFilter ref="B24:C30"/>
  <sortState ref="B25:C30">
    <sortCondition ref="C24:C30"/>
  </sortState>
  <tableColumns count="2">
    <tableColumn id="1" name="Carrier" dataDxfId="86"/>
    <tableColumn id="2" name="Late %" dataDxfId="8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J2:K7" totalsRowShown="0">
  <autoFilter ref="J2:K7"/>
  <sortState ref="J3:K7">
    <sortCondition ref="K2:K7"/>
  </sortState>
  <tableColumns count="2">
    <tableColumn id="1" name="Region" dataDxfId="70"/>
    <tableColumn id="2" name="Late%" dataDxfId="6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H23:J33" totalsRowShown="0">
  <autoFilter ref="H23:J33"/>
  <sortState ref="H24:J33">
    <sortCondition ref="J23:J33"/>
  </sortState>
  <tableColumns count="3">
    <tableColumn id="1" name="Region" dataDxfId="68"/>
    <tableColumn id="2" name="Route" dataDxfId="67"/>
    <tableColumn id="3" name="Late %" dataDxfId="6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G2:I8" totalsRowShown="0">
  <autoFilter ref="G2:I8"/>
  <tableColumns count="3">
    <tableColumn id="1" name="Column1" dataDxfId="5"/>
    <tableColumn id="2" name="Late Avg Cost" dataDxfId="4"/>
    <tableColumn id="3" name="On Time Avg Cost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E2:F9" totalsRowShown="0">
  <autoFilter ref="E2:F9"/>
  <sortState ref="E3:F9">
    <sortCondition ref="F2:F9"/>
  </sortState>
  <tableColumns count="2">
    <tableColumn id="1" name="Day of Week" dataDxfId="1"/>
    <tableColumn id="2" name="Late%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table" Target="../tables/table2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>
      <selection activeCell="Q19" sqref="Q19"/>
    </sheetView>
  </sheetViews>
  <sheetFormatPr defaultRowHeight="15" x14ac:dyDescent="0.25"/>
  <cols>
    <col min="2" max="2" width="20.7109375" customWidth="1"/>
    <col min="3" max="3" width="16.28515625" bestFit="1" customWidth="1"/>
    <col min="4" max="4" width="8.42578125" customWidth="1"/>
    <col min="5" max="5" width="11.28515625" customWidth="1"/>
    <col min="6" max="6" width="11.28515625" hidden="1" customWidth="1"/>
  </cols>
  <sheetData>
    <row r="2" spans="2:5" x14ac:dyDescent="0.25">
      <c r="B2" s="1" t="s">
        <v>2</v>
      </c>
      <c r="C2" s="1" t="s">
        <v>19</v>
      </c>
    </row>
    <row r="3" spans="2:5" x14ac:dyDescent="0.25">
      <c r="B3" s="1" t="s">
        <v>0</v>
      </c>
      <c r="C3" t="s">
        <v>3</v>
      </c>
      <c r="D3" t="s">
        <v>4</v>
      </c>
      <c r="E3" t="s">
        <v>1</v>
      </c>
    </row>
    <row r="4" spans="2:5" x14ac:dyDescent="0.25">
      <c r="B4" s="2" t="s">
        <v>5</v>
      </c>
      <c r="C4" s="6">
        <v>0.39244951712028092</v>
      </c>
      <c r="D4" s="6">
        <v>0.60755048287971902</v>
      </c>
      <c r="E4" s="5">
        <v>1</v>
      </c>
    </row>
    <row r="5" spans="2:5" x14ac:dyDescent="0.25">
      <c r="B5" s="4" t="s">
        <v>6</v>
      </c>
      <c r="C5" s="6">
        <v>0.38902743142144636</v>
      </c>
      <c r="D5" s="6">
        <v>0.61097256857855364</v>
      </c>
      <c r="E5" s="5">
        <v>1</v>
      </c>
    </row>
    <row r="6" spans="2:5" x14ac:dyDescent="0.25">
      <c r="B6" s="4" t="s">
        <v>7</v>
      </c>
      <c r="C6" s="6">
        <v>0.37398373983739835</v>
      </c>
      <c r="D6" s="6">
        <v>0.62601626016260159</v>
      </c>
      <c r="E6" s="5">
        <v>1</v>
      </c>
    </row>
    <row r="7" spans="2:5" x14ac:dyDescent="0.25">
      <c r="B7" s="4" t="s">
        <v>8</v>
      </c>
      <c r="C7" s="6">
        <v>0.41798941798941797</v>
      </c>
      <c r="D7" s="6">
        <v>0.58201058201058198</v>
      </c>
      <c r="E7" s="5">
        <v>1</v>
      </c>
    </row>
    <row r="8" spans="2:5" x14ac:dyDescent="0.25">
      <c r="B8" s="4" t="s">
        <v>9</v>
      </c>
      <c r="C8" s="6">
        <v>0.4022346368715084</v>
      </c>
      <c r="D8" s="6">
        <v>0.5977653631284916</v>
      </c>
      <c r="E8" s="5">
        <v>1</v>
      </c>
    </row>
    <row r="9" spans="2:5" x14ac:dyDescent="0.25">
      <c r="B9" s="4" t="s">
        <v>10</v>
      </c>
      <c r="C9" s="6">
        <v>0.39608801955990219</v>
      </c>
      <c r="D9" s="6">
        <v>0.60391198044009775</v>
      </c>
      <c r="E9" s="5">
        <v>1</v>
      </c>
    </row>
    <row r="10" spans="2:5" x14ac:dyDescent="0.25">
      <c r="B10" s="4" t="s">
        <v>11</v>
      </c>
      <c r="C10" s="6">
        <v>0.37465564738292012</v>
      </c>
      <c r="D10" s="6">
        <v>0.62534435261707988</v>
      </c>
      <c r="E10" s="5">
        <v>1</v>
      </c>
    </row>
    <row r="11" spans="2:5" x14ac:dyDescent="0.25">
      <c r="B11" s="2" t="s">
        <v>12</v>
      </c>
      <c r="C11" s="6">
        <v>0.39165911151405258</v>
      </c>
      <c r="D11" s="6">
        <v>0.60834088848594736</v>
      </c>
      <c r="E11" s="5">
        <v>1</v>
      </c>
    </row>
    <row r="12" spans="2:5" x14ac:dyDescent="0.25">
      <c r="B12" s="4" t="s">
        <v>13</v>
      </c>
      <c r="C12" s="6">
        <v>0.43465909090909088</v>
      </c>
      <c r="D12" s="6">
        <v>0.56534090909090906</v>
      </c>
      <c r="E12" s="5">
        <v>1</v>
      </c>
    </row>
    <row r="13" spans="2:5" x14ac:dyDescent="0.25">
      <c r="B13" s="4" t="s">
        <v>14</v>
      </c>
      <c r="C13" s="6">
        <v>0.38873994638069703</v>
      </c>
      <c r="D13" s="6">
        <v>0.61126005361930291</v>
      </c>
      <c r="E13" s="5">
        <v>1</v>
      </c>
    </row>
    <row r="14" spans="2:5" x14ac:dyDescent="0.25">
      <c r="B14" s="4" t="s">
        <v>15</v>
      </c>
      <c r="C14" s="6">
        <v>0.36165048543689321</v>
      </c>
      <c r="D14" s="6">
        <v>0.63834951456310685</v>
      </c>
      <c r="E14" s="5">
        <v>1</v>
      </c>
    </row>
    <row r="15" spans="2:5" x14ac:dyDescent="0.25">
      <c r="B15" s="4" t="s">
        <v>16</v>
      </c>
      <c r="C15" s="6">
        <v>0.39039039039039036</v>
      </c>
      <c r="D15" s="6">
        <v>0.60960960960960964</v>
      </c>
      <c r="E15" s="5">
        <v>1</v>
      </c>
    </row>
    <row r="16" spans="2:5" x14ac:dyDescent="0.25">
      <c r="B16" s="4" t="s">
        <v>17</v>
      </c>
      <c r="C16" s="6">
        <v>0.38440860215053763</v>
      </c>
      <c r="D16" s="6">
        <v>0.61559139784946237</v>
      </c>
      <c r="E16" s="5">
        <v>1</v>
      </c>
    </row>
    <row r="17" spans="2:5" x14ac:dyDescent="0.25">
      <c r="B17" s="4" t="s">
        <v>18</v>
      </c>
      <c r="C17" s="6">
        <v>0.39560439560439559</v>
      </c>
      <c r="D17" s="6">
        <v>0.60439560439560436</v>
      </c>
      <c r="E17" s="5">
        <v>1</v>
      </c>
    </row>
    <row r="18" spans="2:5" x14ac:dyDescent="0.25">
      <c r="B18" s="2" t="s">
        <v>1</v>
      </c>
      <c r="C18" s="5">
        <v>0.39206066012488849</v>
      </c>
      <c r="D18" s="5">
        <v>0.60793933987511151</v>
      </c>
      <c r="E18" s="5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0"/>
  <sheetViews>
    <sheetView workbookViewId="0">
      <selection activeCell="E9" sqref="E9"/>
    </sheetView>
  </sheetViews>
  <sheetFormatPr defaultRowHeight="15" x14ac:dyDescent="0.25"/>
  <cols>
    <col min="2" max="2" width="23" style="8" customWidth="1"/>
    <col min="3" max="3" width="20.7109375" style="8" bestFit="1" customWidth="1"/>
    <col min="4" max="4" width="21.5703125" style="8" customWidth="1"/>
    <col min="5" max="5" width="24.85546875" style="8" customWidth="1"/>
    <col min="6" max="6" width="17.5703125" customWidth="1"/>
  </cols>
  <sheetData>
    <row r="2" spans="2:6" x14ac:dyDescent="0.25">
      <c r="B2" s="1" t="s">
        <v>0</v>
      </c>
      <c r="C2" t="s">
        <v>2</v>
      </c>
      <c r="D2" t="s">
        <v>28</v>
      </c>
      <c r="E2" t="s">
        <v>27</v>
      </c>
      <c r="F2" t="s">
        <v>26</v>
      </c>
    </row>
    <row r="3" spans="2:6" x14ac:dyDescent="0.25">
      <c r="B3" s="2" t="s">
        <v>20</v>
      </c>
      <c r="C3" s="3">
        <v>770</v>
      </c>
      <c r="D3" s="7">
        <v>-0.91948051948051945</v>
      </c>
      <c r="E3" s="7">
        <v>492.84285714285716</v>
      </c>
      <c r="F3" s="5">
        <v>0.17172167707404104</v>
      </c>
    </row>
    <row r="4" spans="2:6" x14ac:dyDescent="0.25">
      <c r="B4" s="4" t="s">
        <v>3</v>
      </c>
      <c r="C4" s="3">
        <v>297</v>
      </c>
      <c r="D4" s="3">
        <v>3.4208754208754208</v>
      </c>
      <c r="E4" s="3">
        <v>491.43434343434342</v>
      </c>
      <c r="F4" s="5">
        <v>0.38571428571428573</v>
      </c>
    </row>
    <row r="5" spans="2:6" x14ac:dyDescent="0.25">
      <c r="B5" s="4" t="s">
        <v>4</v>
      </c>
      <c r="C5" s="3">
        <v>473</v>
      </c>
      <c r="D5" s="3">
        <v>-3.6448202959830867</v>
      </c>
      <c r="E5" s="3">
        <v>493.72727272727275</v>
      </c>
      <c r="F5" s="5">
        <v>0.61428571428571432</v>
      </c>
    </row>
    <row r="6" spans="2:6" x14ac:dyDescent="0.25">
      <c r="B6" s="2" t="s">
        <v>21</v>
      </c>
      <c r="C6" s="3">
        <v>697</v>
      </c>
      <c r="D6" s="7">
        <v>-0.2582496413199426</v>
      </c>
      <c r="E6" s="7">
        <v>453.65997130559543</v>
      </c>
      <c r="F6" s="5">
        <v>0.15544157002676182</v>
      </c>
    </row>
    <row r="7" spans="2:6" x14ac:dyDescent="0.25">
      <c r="B7" s="4" t="s">
        <v>3</v>
      </c>
      <c r="C7" s="3">
        <v>264</v>
      </c>
      <c r="D7" s="3">
        <v>3.5795454545454546</v>
      </c>
      <c r="E7" s="3">
        <v>455.35227272727275</v>
      </c>
      <c r="F7" s="5">
        <v>0.37876614060258251</v>
      </c>
    </row>
    <row r="8" spans="2:6" x14ac:dyDescent="0.25">
      <c r="B8" s="4" t="s">
        <v>4</v>
      </c>
      <c r="C8" s="3">
        <v>433</v>
      </c>
      <c r="D8" s="3">
        <v>-2.5981524249422634</v>
      </c>
      <c r="E8" s="3">
        <v>452.62817551963047</v>
      </c>
      <c r="F8" s="5">
        <v>0.62123385939741749</v>
      </c>
    </row>
    <row r="9" spans="2:6" x14ac:dyDescent="0.25">
      <c r="B9" s="2" t="s">
        <v>22</v>
      </c>
      <c r="C9" s="3">
        <v>749</v>
      </c>
      <c r="D9" s="7">
        <v>0.89319092122830446</v>
      </c>
      <c r="E9" s="7">
        <v>390.73965287049401</v>
      </c>
      <c r="F9" s="5">
        <v>0.16703835860838537</v>
      </c>
    </row>
    <row r="10" spans="2:6" x14ac:dyDescent="0.25">
      <c r="B10" s="4" t="s">
        <v>3</v>
      </c>
      <c r="C10" s="3">
        <v>293</v>
      </c>
      <c r="D10" s="3">
        <v>3.6348122866894199</v>
      </c>
      <c r="E10" s="3">
        <v>395.43856655290102</v>
      </c>
      <c r="F10" s="5">
        <v>0.39118825100133514</v>
      </c>
    </row>
    <row r="11" spans="2:6" x14ac:dyDescent="0.25">
      <c r="B11" s="4" t="s">
        <v>4</v>
      </c>
      <c r="C11" s="3">
        <v>456</v>
      </c>
      <c r="D11" s="3">
        <v>-0.86842105263157898</v>
      </c>
      <c r="E11" s="3">
        <v>387.72039473684208</v>
      </c>
      <c r="F11" s="5">
        <v>0.60881174899866486</v>
      </c>
    </row>
    <row r="12" spans="2:6" x14ac:dyDescent="0.25">
      <c r="B12" s="2" t="s">
        <v>23</v>
      </c>
      <c r="C12" s="3">
        <v>770</v>
      </c>
      <c r="D12" s="7">
        <v>-0.77402597402597406</v>
      </c>
      <c r="E12" s="7">
        <v>336.34025974025974</v>
      </c>
      <c r="F12" s="5">
        <v>0.17172167707404104</v>
      </c>
    </row>
    <row r="13" spans="2:6" x14ac:dyDescent="0.25">
      <c r="B13" s="4" t="s">
        <v>3</v>
      </c>
      <c r="C13" s="3">
        <v>317</v>
      </c>
      <c r="D13" s="3">
        <v>3.4700315457413251</v>
      </c>
      <c r="E13" s="3">
        <v>345.2302839116719</v>
      </c>
      <c r="F13" s="5">
        <v>0.41168831168831171</v>
      </c>
    </row>
    <row r="14" spans="2:6" x14ac:dyDescent="0.25">
      <c r="B14" s="4" t="s">
        <v>4</v>
      </c>
      <c r="C14" s="3">
        <v>453</v>
      </c>
      <c r="D14" s="3">
        <v>-3.7439293598233996</v>
      </c>
      <c r="E14" s="3">
        <v>330.11920529801324</v>
      </c>
      <c r="F14" s="5">
        <v>0.58831168831168834</v>
      </c>
    </row>
    <row r="15" spans="2:6" x14ac:dyDescent="0.25">
      <c r="B15" s="2" t="s">
        <v>24</v>
      </c>
      <c r="C15" s="3">
        <v>735</v>
      </c>
      <c r="D15" s="7">
        <v>-5.9863945578231291E-2</v>
      </c>
      <c r="E15" s="7">
        <v>402.01496598639454</v>
      </c>
      <c r="F15" s="5">
        <v>0.16391614629794826</v>
      </c>
    </row>
    <row r="16" spans="2:6" x14ac:dyDescent="0.25">
      <c r="B16" s="4" t="s">
        <v>3</v>
      </c>
      <c r="C16" s="3">
        <v>290</v>
      </c>
      <c r="D16" s="3">
        <v>3.5724137931034483</v>
      </c>
      <c r="E16" s="3">
        <v>405.72758620689655</v>
      </c>
      <c r="F16" s="5">
        <v>0.39455782312925169</v>
      </c>
    </row>
    <row r="17" spans="2:6" x14ac:dyDescent="0.25">
      <c r="B17" s="4" t="s">
        <v>4</v>
      </c>
      <c r="C17" s="3">
        <v>445</v>
      </c>
      <c r="D17" s="3">
        <v>-2.4269662921348316</v>
      </c>
      <c r="E17" s="3">
        <v>399.59550561797755</v>
      </c>
      <c r="F17" s="5">
        <v>0.60544217687074831</v>
      </c>
    </row>
    <row r="18" spans="2:6" x14ac:dyDescent="0.25">
      <c r="B18" s="2" t="s">
        <v>25</v>
      </c>
      <c r="C18" s="3">
        <v>763</v>
      </c>
      <c r="D18" s="7">
        <v>-7.0773263433813891E-2</v>
      </c>
      <c r="E18" s="7">
        <v>488.53145478374836</v>
      </c>
      <c r="F18" s="5">
        <v>0.17016057091882247</v>
      </c>
    </row>
    <row r="19" spans="2:6" x14ac:dyDescent="0.25">
      <c r="B19" s="4" t="s">
        <v>3</v>
      </c>
      <c r="C19" s="3">
        <v>297</v>
      </c>
      <c r="D19" s="3">
        <v>3.4141414141414139</v>
      </c>
      <c r="E19" s="3">
        <v>491.5151515151515</v>
      </c>
      <c r="F19" s="5">
        <v>0.38925294888597639</v>
      </c>
    </row>
    <row r="20" spans="2:6" x14ac:dyDescent="0.25">
      <c r="B20" s="4" t="s">
        <v>4</v>
      </c>
      <c r="C20" s="3">
        <v>466</v>
      </c>
      <c r="D20" s="3">
        <v>-2.2918454935622319</v>
      </c>
      <c r="E20" s="3">
        <v>486.62982832618025</v>
      </c>
      <c r="F20" s="5">
        <v>0.61074705111402361</v>
      </c>
    </row>
    <row r="21" spans="2:6" x14ac:dyDescent="0.25">
      <c r="B21" s="2" t="s">
        <v>1</v>
      </c>
      <c r="C21" s="3">
        <v>4484</v>
      </c>
      <c r="D21" s="3">
        <v>-0.20361284567350579</v>
      </c>
      <c r="E21" s="3">
        <v>427.20037912578056</v>
      </c>
      <c r="F21" s="5">
        <v>1</v>
      </c>
    </row>
    <row r="23" spans="2:6" x14ac:dyDescent="0.25">
      <c r="B23"/>
      <c r="C23"/>
      <c r="D23"/>
      <c r="E23"/>
    </row>
    <row r="24" spans="2:6" x14ac:dyDescent="0.25">
      <c r="B24" s="8" t="s">
        <v>30</v>
      </c>
      <c r="C24" s="8" t="s">
        <v>29</v>
      </c>
      <c r="D24"/>
      <c r="E24"/>
    </row>
    <row r="25" spans="2:6" x14ac:dyDescent="0.25">
      <c r="B25" s="8" t="s">
        <v>21</v>
      </c>
      <c r="C25" s="10">
        <v>0.37880000000000003</v>
      </c>
      <c r="D25" s="9"/>
      <c r="E25"/>
    </row>
    <row r="26" spans="2:6" x14ac:dyDescent="0.25">
      <c r="B26" s="8" t="s">
        <v>20</v>
      </c>
      <c r="C26" s="10">
        <v>0.38569999999999999</v>
      </c>
      <c r="D26"/>
      <c r="E26"/>
    </row>
    <row r="27" spans="2:6" x14ac:dyDescent="0.25">
      <c r="B27" s="8" t="s">
        <v>25</v>
      </c>
      <c r="C27" s="10">
        <v>0.38929999999999998</v>
      </c>
      <c r="D27"/>
      <c r="E27"/>
    </row>
    <row r="28" spans="2:6" x14ac:dyDescent="0.25">
      <c r="B28" s="8" t="s">
        <v>22</v>
      </c>
      <c r="C28" s="10">
        <v>0.39119999999999999</v>
      </c>
      <c r="D28"/>
      <c r="E28"/>
    </row>
    <row r="29" spans="2:6" x14ac:dyDescent="0.25">
      <c r="B29" s="8" t="s">
        <v>24</v>
      </c>
      <c r="C29" s="10">
        <v>0.39460000000000001</v>
      </c>
    </row>
    <row r="30" spans="2:6" x14ac:dyDescent="0.25">
      <c r="B30" s="8" t="s">
        <v>23</v>
      </c>
      <c r="C30" s="10">
        <v>0.41170000000000001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49"/>
  <sheetViews>
    <sheetView workbookViewId="0">
      <selection activeCell="U40" sqref="U40"/>
    </sheetView>
  </sheetViews>
  <sheetFormatPr defaultRowHeight="15" x14ac:dyDescent="0.25"/>
  <cols>
    <col min="2" max="2" width="23.5703125" customWidth="1"/>
    <col min="3" max="3" width="20.7109375" customWidth="1"/>
    <col min="4" max="4" width="21.5703125" customWidth="1"/>
    <col min="5" max="5" width="23.5703125" customWidth="1"/>
    <col min="6" max="6" width="20.7109375" customWidth="1"/>
    <col min="7" max="7" width="20.7109375" bestFit="1" customWidth="1"/>
    <col min="8" max="8" width="21.5703125" bestFit="1" customWidth="1"/>
    <col min="9" max="9" width="20.85546875" bestFit="1" customWidth="1"/>
  </cols>
  <sheetData>
    <row r="2" spans="2:11" x14ac:dyDescent="0.25">
      <c r="B2" s="1" t="s">
        <v>0</v>
      </c>
      <c r="C2" t="s">
        <v>2</v>
      </c>
      <c r="D2" t="s">
        <v>28</v>
      </c>
      <c r="F2" s="1" t="s">
        <v>0</v>
      </c>
      <c r="G2" t="s">
        <v>2</v>
      </c>
      <c r="H2" t="s">
        <v>28</v>
      </c>
      <c r="J2" t="s">
        <v>36</v>
      </c>
      <c r="K2" t="s">
        <v>37</v>
      </c>
    </row>
    <row r="3" spans="2:11" x14ac:dyDescent="0.25">
      <c r="B3" s="2" t="s">
        <v>31</v>
      </c>
      <c r="C3" s="3">
        <v>989</v>
      </c>
      <c r="D3" s="7">
        <v>-0.48076923076923078</v>
      </c>
      <c r="F3" s="2" t="s">
        <v>31</v>
      </c>
      <c r="G3" s="3">
        <v>356</v>
      </c>
      <c r="H3" s="7">
        <v>3.5084269662921348</v>
      </c>
      <c r="J3" s="2" t="s">
        <v>33</v>
      </c>
      <c r="K3" s="5">
        <v>0.34097706879361916</v>
      </c>
    </row>
    <row r="4" spans="2:11" x14ac:dyDescent="0.25">
      <c r="B4" s="2" t="s">
        <v>32</v>
      </c>
      <c r="C4" s="3">
        <v>1002</v>
      </c>
      <c r="D4" s="7">
        <v>-0.17785234899328858</v>
      </c>
      <c r="F4" s="4" t="s">
        <v>3</v>
      </c>
      <c r="G4" s="3">
        <v>356</v>
      </c>
      <c r="H4" s="3">
        <v>3.5084269662921348</v>
      </c>
      <c r="J4" s="2" t="s">
        <v>34</v>
      </c>
      <c r="K4" s="5">
        <v>0.34897959183673471</v>
      </c>
    </row>
    <row r="5" spans="2:11" x14ac:dyDescent="0.25">
      <c r="B5" s="2" t="s">
        <v>33</v>
      </c>
      <c r="C5" s="3">
        <v>1003</v>
      </c>
      <c r="D5" s="7">
        <v>1.3483146067415731E-2</v>
      </c>
      <c r="F5" s="2" t="s">
        <v>32</v>
      </c>
      <c r="G5" s="3">
        <v>352</v>
      </c>
      <c r="H5" s="7">
        <v>3.5284090909090908</v>
      </c>
      <c r="J5" s="2" t="s">
        <v>32</v>
      </c>
      <c r="K5" s="5">
        <v>0.35129740518962077</v>
      </c>
    </row>
    <row r="6" spans="2:11" x14ac:dyDescent="0.25">
      <c r="B6" s="2" t="s">
        <v>34</v>
      </c>
      <c r="C6" s="3">
        <v>980</v>
      </c>
      <c r="D6" s="7">
        <v>0.35414301929625425</v>
      </c>
      <c r="F6" s="4" t="s">
        <v>3</v>
      </c>
      <c r="G6" s="3">
        <v>352</v>
      </c>
      <c r="H6" s="3">
        <v>3.5284090909090908</v>
      </c>
      <c r="J6" s="2" t="s">
        <v>35</v>
      </c>
      <c r="K6" s="5">
        <v>0.35672514619883039</v>
      </c>
    </row>
    <row r="7" spans="2:11" x14ac:dyDescent="0.25">
      <c r="B7" s="2" t="s">
        <v>35</v>
      </c>
      <c r="C7" s="3">
        <v>1026</v>
      </c>
      <c r="D7" s="7">
        <v>-0.69839572192513366</v>
      </c>
      <c r="F7" s="2" t="s">
        <v>33</v>
      </c>
      <c r="G7" s="3">
        <v>342</v>
      </c>
      <c r="H7" s="7">
        <v>3.4883040935672516</v>
      </c>
      <c r="J7" s="2" t="s">
        <v>31</v>
      </c>
      <c r="K7" s="5">
        <v>0.35995955510616784</v>
      </c>
    </row>
    <row r="8" spans="2:11" x14ac:dyDescent="0.25">
      <c r="B8" s="2" t="s">
        <v>1</v>
      </c>
      <c r="C8" s="3">
        <v>5000</v>
      </c>
      <c r="D8" s="3">
        <v>-0.20361284567350579</v>
      </c>
      <c r="F8" s="4" t="s">
        <v>3</v>
      </c>
      <c r="G8" s="3">
        <v>342</v>
      </c>
      <c r="H8" s="3">
        <v>3.4883040935672516</v>
      </c>
    </row>
    <row r="9" spans="2:11" x14ac:dyDescent="0.25">
      <c r="F9" s="2" t="s">
        <v>34</v>
      </c>
      <c r="G9" s="3">
        <v>342</v>
      </c>
      <c r="H9" s="7">
        <v>3.365497076023392</v>
      </c>
    </row>
    <row r="10" spans="2:11" x14ac:dyDescent="0.25">
      <c r="F10" s="4" t="s">
        <v>3</v>
      </c>
      <c r="G10" s="3">
        <v>342</v>
      </c>
      <c r="H10" s="3">
        <v>3.365497076023392</v>
      </c>
    </row>
    <row r="11" spans="2:11" x14ac:dyDescent="0.25">
      <c r="F11" s="2" t="s">
        <v>35</v>
      </c>
      <c r="G11" s="3">
        <v>366</v>
      </c>
      <c r="H11" s="7">
        <v>3.6639344262295084</v>
      </c>
    </row>
    <row r="12" spans="2:11" x14ac:dyDescent="0.25">
      <c r="F12" s="4" t="s">
        <v>3</v>
      </c>
      <c r="G12" s="3">
        <v>366</v>
      </c>
      <c r="H12" s="3">
        <v>3.6639344262295084</v>
      </c>
    </row>
    <row r="13" spans="2:11" x14ac:dyDescent="0.25">
      <c r="F13" s="2" t="s">
        <v>1</v>
      </c>
      <c r="G13" s="3">
        <v>1758</v>
      </c>
      <c r="H13" s="3">
        <v>3.5130830489192264</v>
      </c>
    </row>
    <row r="23" spans="2:10" x14ac:dyDescent="0.25">
      <c r="B23" s="1" t="s">
        <v>0</v>
      </c>
      <c r="C23" t="s">
        <v>2</v>
      </c>
      <c r="E23" s="1" t="s">
        <v>0</v>
      </c>
      <c r="F23" t="s">
        <v>2</v>
      </c>
      <c r="H23" t="s">
        <v>36</v>
      </c>
      <c r="I23" t="s">
        <v>48</v>
      </c>
      <c r="J23" t="s">
        <v>29</v>
      </c>
    </row>
    <row r="24" spans="2:10" x14ac:dyDescent="0.25">
      <c r="B24" s="2" t="s">
        <v>31</v>
      </c>
      <c r="C24" s="3">
        <v>989</v>
      </c>
      <c r="E24" s="2" t="s">
        <v>31</v>
      </c>
      <c r="F24" s="3">
        <v>356</v>
      </c>
      <c r="H24" s="13" t="s">
        <v>33</v>
      </c>
      <c r="I24" s="13" t="s">
        <v>43</v>
      </c>
      <c r="J24" s="5">
        <v>0.30115830115830117</v>
      </c>
    </row>
    <row r="25" spans="2:10" x14ac:dyDescent="0.25">
      <c r="B25" s="4" t="s">
        <v>38</v>
      </c>
      <c r="C25" s="3">
        <v>469</v>
      </c>
      <c r="E25" s="4" t="s">
        <v>38</v>
      </c>
      <c r="F25" s="3">
        <v>163</v>
      </c>
      <c r="H25" s="4" t="s">
        <v>34</v>
      </c>
      <c r="I25" s="4" t="s">
        <v>44</v>
      </c>
      <c r="J25" s="5">
        <v>0.31818181818181818</v>
      </c>
    </row>
    <row r="26" spans="2:10" x14ac:dyDescent="0.25">
      <c r="B26" s="4" t="s">
        <v>39</v>
      </c>
      <c r="C26" s="3">
        <v>520</v>
      </c>
      <c r="E26" s="12" t="s">
        <v>3</v>
      </c>
      <c r="F26" s="3">
        <v>163</v>
      </c>
      <c r="H26" s="13" t="s">
        <v>32</v>
      </c>
      <c r="I26" s="13" t="s">
        <v>40</v>
      </c>
      <c r="J26" s="5">
        <v>0.33471074380165289</v>
      </c>
    </row>
    <row r="27" spans="2:10" x14ac:dyDescent="0.25">
      <c r="B27" s="2" t="s">
        <v>32</v>
      </c>
      <c r="C27" s="3">
        <v>1002</v>
      </c>
      <c r="E27" s="4" t="s">
        <v>39</v>
      </c>
      <c r="F27" s="3">
        <v>193</v>
      </c>
      <c r="H27" s="4" t="s">
        <v>35</v>
      </c>
      <c r="I27" s="4" t="s">
        <v>46</v>
      </c>
      <c r="J27" s="5">
        <v>0.34113060428849901</v>
      </c>
    </row>
    <row r="28" spans="2:10" x14ac:dyDescent="0.25">
      <c r="B28" s="4" t="s">
        <v>40</v>
      </c>
      <c r="C28" s="3">
        <v>484</v>
      </c>
      <c r="E28" s="12" t="s">
        <v>3</v>
      </c>
      <c r="F28" s="3">
        <v>193</v>
      </c>
      <c r="H28" s="13" t="s">
        <v>31</v>
      </c>
      <c r="I28" s="13" t="s">
        <v>38</v>
      </c>
      <c r="J28" s="5">
        <v>0.34754797441364604</v>
      </c>
    </row>
    <row r="29" spans="2:10" x14ac:dyDescent="0.25">
      <c r="B29" s="4" t="s">
        <v>41</v>
      </c>
      <c r="C29" s="3">
        <v>518</v>
      </c>
      <c r="E29" s="2" t="s">
        <v>32</v>
      </c>
      <c r="F29" s="3">
        <v>352</v>
      </c>
      <c r="H29" s="13" t="s">
        <v>33</v>
      </c>
      <c r="I29" s="13" t="s">
        <v>42</v>
      </c>
      <c r="J29" s="5">
        <v>0.3583815028901734</v>
      </c>
    </row>
    <row r="30" spans="2:10" x14ac:dyDescent="0.25">
      <c r="B30" s="2" t="s">
        <v>33</v>
      </c>
      <c r="C30" s="3">
        <v>1003</v>
      </c>
      <c r="E30" s="4" t="s">
        <v>40</v>
      </c>
      <c r="F30" s="3">
        <v>162</v>
      </c>
      <c r="H30" s="13" t="s">
        <v>32</v>
      </c>
      <c r="I30" s="13" t="s">
        <v>41</v>
      </c>
      <c r="J30" s="5">
        <v>0.36679536679536678</v>
      </c>
    </row>
    <row r="31" spans="2:10" x14ac:dyDescent="0.25">
      <c r="B31" s="4" t="s">
        <v>42</v>
      </c>
      <c r="C31" s="3">
        <v>519</v>
      </c>
      <c r="E31" s="12" t="s">
        <v>3</v>
      </c>
      <c r="F31" s="3">
        <v>162</v>
      </c>
      <c r="H31" s="13" t="s">
        <v>31</v>
      </c>
      <c r="I31" s="13" t="s">
        <v>39</v>
      </c>
      <c r="J31" s="5">
        <v>0.37115384615384617</v>
      </c>
    </row>
    <row r="32" spans="2:10" x14ac:dyDescent="0.25">
      <c r="B32" s="4" t="s">
        <v>43</v>
      </c>
      <c r="C32" s="3">
        <v>484</v>
      </c>
      <c r="E32" s="4" t="s">
        <v>41</v>
      </c>
      <c r="F32" s="3">
        <v>190</v>
      </c>
      <c r="H32" s="4" t="s">
        <v>35</v>
      </c>
      <c r="I32" s="4" t="s">
        <v>47</v>
      </c>
      <c r="J32" s="5">
        <v>0.37231968810916177</v>
      </c>
    </row>
    <row r="33" spans="2:10" x14ac:dyDescent="0.25">
      <c r="B33" s="2" t="s">
        <v>34</v>
      </c>
      <c r="C33" s="3">
        <v>980</v>
      </c>
      <c r="E33" s="12" t="s">
        <v>3</v>
      </c>
      <c r="F33" s="3">
        <v>190</v>
      </c>
      <c r="H33" s="4" t="s">
        <v>34</v>
      </c>
      <c r="I33" s="4" t="s">
        <v>45</v>
      </c>
      <c r="J33" s="5">
        <v>0.37644787644787647</v>
      </c>
    </row>
    <row r="34" spans="2:10" x14ac:dyDescent="0.25">
      <c r="B34" s="4" t="s">
        <v>44</v>
      </c>
      <c r="C34" s="3">
        <v>462</v>
      </c>
      <c r="E34" s="2" t="s">
        <v>33</v>
      </c>
      <c r="F34" s="3">
        <v>342</v>
      </c>
    </row>
    <row r="35" spans="2:10" x14ac:dyDescent="0.25">
      <c r="B35" s="4" t="s">
        <v>45</v>
      </c>
      <c r="C35" s="3">
        <v>518</v>
      </c>
      <c r="E35" s="4" t="s">
        <v>42</v>
      </c>
      <c r="F35" s="3">
        <v>186</v>
      </c>
    </row>
    <row r="36" spans="2:10" x14ac:dyDescent="0.25">
      <c r="B36" s="2" t="s">
        <v>35</v>
      </c>
      <c r="C36" s="3">
        <v>1026</v>
      </c>
      <c r="E36" s="12" t="s">
        <v>3</v>
      </c>
      <c r="F36" s="3">
        <v>186</v>
      </c>
    </row>
    <row r="37" spans="2:10" x14ac:dyDescent="0.25">
      <c r="B37" s="4" t="s">
        <v>46</v>
      </c>
      <c r="C37" s="3">
        <v>513</v>
      </c>
      <c r="E37" s="4" t="s">
        <v>43</v>
      </c>
      <c r="F37" s="3">
        <v>156</v>
      </c>
    </row>
    <row r="38" spans="2:10" x14ac:dyDescent="0.25">
      <c r="B38" s="4" t="s">
        <v>47</v>
      </c>
      <c r="C38" s="3">
        <v>513</v>
      </c>
      <c r="E38" s="12" t="s">
        <v>3</v>
      </c>
      <c r="F38" s="3">
        <v>156</v>
      </c>
    </row>
    <row r="39" spans="2:10" x14ac:dyDescent="0.25">
      <c r="B39" s="2" t="s">
        <v>1</v>
      </c>
      <c r="C39" s="3">
        <v>5000</v>
      </c>
      <c r="E39" s="2" t="s">
        <v>34</v>
      </c>
      <c r="F39" s="3">
        <v>342</v>
      </c>
    </row>
    <row r="40" spans="2:10" x14ac:dyDescent="0.25">
      <c r="E40" s="4" t="s">
        <v>44</v>
      </c>
      <c r="F40" s="3">
        <v>147</v>
      </c>
    </row>
    <row r="41" spans="2:10" x14ac:dyDescent="0.25">
      <c r="E41" s="12" t="s">
        <v>3</v>
      </c>
      <c r="F41" s="3">
        <v>147</v>
      </c>
    </row>
    <row r="42" spans="2:10" x14ac:dyDescent="0.25">
      <c r="E42" s="4" t="s">
        <v>45</v>
      </c>
      <c r="F42" s="3">
        <v>195</v>
      </c>
    </row>
    <row r="43" spans="2:10" x14ac:dyDescent="0.25">
      <c r="E43" s="12" t="s">
        <v>3</v>
      </c>
      <c r="F43" s="3">
        <v>195</v>
      </c>
    </row>
    <row r="44" spans="2:10" x14ac:dyDescent="0.25">
      <c r="E44" s="2" t="s">
        <v>35</v>
      </c>
      <c r="F44" s="3">
        <v>366</v>
      </c>
    </row>
    <row r="45" spans="2:10" x14ac:dyDescent="0.25">
      <c r="E45" s="4" t="s">
        <v>46</v>
      </c>
      <c r="F45" s="3">
        <v>175</v>
      </c>
    </row>
    <row r="46" spans="2:10" x14ac:dyDescent="0.25">
      <c r="E46" s="12" t="s">
        <v>3</v>
      </c>
      <c r="F46" s="3">
        <v>175</v>
      </c>
    </row>
    <row r="47" spans="2:10" x14ac:dyDescent="0.25">
      <c r="E47" s="4" t="s">
        <v>47</v>
      </c>
      <c r="F47" s="3">
        <v>191</v>
      </c>
    </row>
    <row r="48" spans="2:10" x14ac:dyDescent="0.25">
      <c r="E48" s="12" t="s">
        <v>3</v>
      </c>
      <c r="F48" s="3">
        <v>191</v>
      </c>
    </row>
    <row r="49" spans="5:6" x14ac:dyDescent="0.25">
      <c r="E49" s="2" t="s">
        <v>1</v>
      </c>
      <c r="F49" s="3">
        <v>1758</v>
      </c>
    </row>
  </sheetData>
  <pageMargins left="0.7" right="0.7" top="0.75" bottom="0.75" header="0.3" footer="0.3"/>
  <drawing r:id="rId5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workbookViewId="0">
      <selection activeCell="K8" sqref="K8"/>
    </sheetView>
  </sheetViews>
  <sheetFormatPr defaultRowHeight="15" x14ac:dyDescent="0.25"/>
  <cols>
    <col min="2" max="2" width="23" bestFit="1" customWidth="1"/>
    <col min="3" max="3" width="24.85546875" bestFit="1" customWidth="1"/>
    <col min="4" max="4" width="21.5703125" bestFit="1" customWidth="1"/>
    <col min="5" max="5" width="20.7109375" bestFit="1" customWidth="1"/>
    <col min="7" max="7" width="21.140625" bestFit="1" customWidth="1"/>
    <col min="8" max="8" width="14.85546875" customWidth="1"/>
    <col min="9" max="9" width="18.5703125" customWidth="1"/>
  </cols>
  <sheetData>
    <row r="2" spans="2:9" x14ac:dyDescent="0.25">
      <c r="B2" s="1" t="s">
        <v>0</v>
      </c>
      <c r="C2" t="s">
        <v>27</v>
      </c>
      <c r="D2" t="s">
        <v>28</v>
      </c>
      <c r="E2" t="s">
        <v>2</v>
      </c>
      <c r="G2" t="s">
        <v>51</v>
      </c>
      <c r="H2" t="s">
        <v>49</v>
      </c>
      <c r="I2" t="s">
        <v>50</v>
      </c>
    </row>
    <row r="3" spans="2:9" x14ac:dyDescent="0.25">
      <c r="B3" s="2" t="s">
        <v>20</v>
      </c>
      <c r="C3" s="7">
        <v>492.84285714285716</v>
      </c>
      <c r="D3" s="7">
        <v>-0.91948051948051945</v>
      </c>
      <c r="E3" s="3">
        <v>770</v>
      </c>
      <c r="G3" s="11" t="s">
        <v>20</v>
      </c>
      <c r="H3" s="14">
        <v>491.43434343434342</v>
      </c>
      <c r="I3" s="14">
        <v>493.72727272727275</v>
      </c>
    </row>
    <row r="4" spans="2:9" x14ac:dyDescent="0.25">
      <c r="B4" s="4" t="s">
        <v>3</v>
      </c>
      <c r="C4" s="7">
        <v>491.43434343434342</v>
      </c>
      <c r="D4" s="7">
        <v>3.4208754208754208</v>
      </c>
      <c r="E4" s="3">
        <v>297</v>
      </c>
      <c r="G4" s="11" t="s">
        <v>21</v>
      </c>
      <c r="H4" s="14">
        <v>455.35227272727275</v>
      </c>
      <c r="I4" s="14">
        <v>452.62817551963047</v>
      </c>
    </row>
    <row r="5" spans="2:9" x14ac:dyDescent="0.25">
      <c r="B5" s="4" t="s">
        <v>4</v>
      </c>
      <c r="C5" s="7">
        <v>493.72727272727275</v>
      </c>
      <c r="D5" s="7">
        <v>-3.6448202959830867</v>
      </c>
      <c r="E5" s="3">
        <v>473</v>
      </c>
      <c r="G5" s="11" t="s">
        <v>22</v>
      </c>
      <c r="H5" s="14">
        <v>395.43856655290102</v>
      </c>
      <c r="I5" s="14">
        <v>387.72039473684208</v>
      </c>
    </row>
    <row r="6" spans="2:9" x14ac:dyDescent="0.25">
      <c r="B6" s="2" t="s">
        <v>21</v>
      </c>
      <c r="C6" s="7">
        <v>453.65997130559543</v>
      </c>
      <c r="D6" s="7">
        <v>-0.2582496413199426</v>
      </c>
      <c r="E6" s="3">
        <v>697</v>
      </c>
      <c r="G6" s="11" t="s">
        <v>23</v>
      </c>
      <c r="H6" s="14">
        <v>345.2302839116719</v>
      </c>
      <c r="I6" s="14">
        <v>330.11920529801324</v>
      </c>
    </row>
    <row r="7" spans="2:9" x14ac:dyDescent="0.25">
      <c r="B7" s="4" t="s">
        <v>3</v>
      </c>
      <c r="C7" s="7">
        <v>455.35227272727275</v>
      </c>
      <c r="D7" s="7">
        <v>3.5795454545454546</v>
      </c>
      <c r="E7" s="3">
        <v>264</v>
      </c>
      <c r="G7" s="11" t="s">
        <v>24</v>
      </c>
      <c r="H7" s="14">
        <v>405.72758620689655</v>
      </c>
      <c r="I7" s="14">
        <v>399.59550561797755</v>
      </c>
    </row>
    <row r="8" spans="2:9" x14ac:dyDescent="0.25">
      <c r="B8" s="4" t="s">
        <v>4</v>
      </c>
      <c r="C8" s="7">
        <v>452.62817551963047</v>
      </c>
      <c r="D8" s="7">
        <v>-2.5981524249422634</v>
      </c>
      <c r="E8" s="3">
        <v>433</v>
      </c>
      <c r="G8" s="11" t="s">
        <v>25</v>
      </c>
      <c r="H8" s="14">
        <v>491.5151515151515</v>
      </c>
      <c r="I8" s="14">
        <v>486.62982832618025</v>
      </c>
    </row>
    <row r="9" spans="2:9" x14ac:dyDescent="0.25">
      <c r="B9" s="2" t="s">
        <v>22</v>
      </c>
      <c r="C9" s="7">
        <v>390.73965287049401</v>
      </c>
      <c r="D9" s="7">
        <v>0.89319092122830446</v>
      </c>
      <c r="E9" s="3">
        <v>749</v>
      </c>
    </row>
    <row r="10" spans="2:9" x14ac:dyDescent="0.25">
      <c r="B10" s="4" t="s">
        <v>3</v>
      </c>
      <c r="C10" s="7">
        <v>395.43856655290102</v>
      </c>
      <c r="D10" s="7">
        <v>3.6348122866894199</v>
      </c>
      <c r="E10" s="3">
        <v>293</v>
      </c>
    </row>
    <row r="11" spans="2:9" x14ac:dyDescent="0.25">
      <c r="B11" s="4" t="s">
        <v>4</v>
      </c>
      <c r="C11" s="7">
        <v>387.72039473684208</v>
      </c>
      <c r="D11" s="7">
        <v>-0.86842105263157898</v>
      </c>
      <c r="E11" s="3">
        <v>456</v>
      </c>
    </row>
    <row r="12" spans="2:9" x14ac:dyDescent="0.25">
      <c r="B12" s="2" t="s">
        <v>23</v>
      </c>
      <c r="C12" s="7">
        <v>336.34025974025974</v>
      </c>
      <c r="D12" s="7">
        <v>-0.77402597402597406</v>
      </c>
      <c r="E12" s="3">
        <v>770</v>
      </c>
    </row>
    <row r="13" spans="2:9" x14ac:dyDescent="0.25">
      <c r="B13" s="4" t="s">
        <v>3</v>
      </c>
      <c r="C13" s="7">
        <v>345.2302839116719</v>
      </c>
      <c r="D13" s="7">
        <v>3.4700315457413251</v>
      </c>
      <c r="E13" s="3">
        <v>317</v>
      </c>
    </row>
    <row r="14" spans="2:9" x14ac:dyDescent="0.25">
      <c r="B14" s="4" t="s">
        <v>4</v>
      </c>
      <c r="C14" s="7">
        <v>330.11920529801324</v>
      </c>
      <c r="D14" s="7">
        <v>-3.7439293598233996</v>
      </c>
      <c r="E14" s="3">
        <v>453</v>
      </c>
    </row>
    <row r="15" spans="2:9" x14ac:dyDescent="0.25">
      <c r="B15" s="2" t="s">
        <v>24</v>
      </c>
      <c r="C15" s="7">
        <v>402.01496598639454</v>
      </c>
      <c r="D15" s="7">
        <v>-5.9863945578231291E-2</v>
      </c>
      <c r="E15" s="3">
        <v>735</v>
      </c>
    </row>
    <row r="16" spans="2:9" x14ac:dyDescent="0.25">
      <c r="B16" s="4" t="s">
        <v>3</v>
      </c>
      <c r="C16" s="7">
        <v>405.72758620689655</v>
      </c>
      <c r="D16" s="7">
        <v>3.5724137931034483</v>
      </c>
      <c r="E16" s="3">
        <v>290</v>
      </c>
    </row>
    <row r="17" spans="2:5" x14ac:dyDescent="0.25">
      <c r="B17" s="4" t="s">
        <v>4</v>
      </c>
      <c r="C17" s="7">
        <v>399.59550561797755</v>
      </c>
      <c r="D17" s="7">
        <v>-2.4269662921348316</v>
      </c>
      <c r="E17" s="3">
        <v>445</v>
      </c>
    </row>
    <row r="18" spans="2:5" x14ac:dyDescent="0.25">
      <c r="B18" s="2" t="s">
        <v>25</v>
      </c>
      <c r="C18" s="7">
        <v>488.53145478374836</v>
      </c>
      <c r="D18" s="7">
        <v>-7.0773263433813891E-2</v>
      </c>
      <c r="E18" s="3">
        <v>763</v>
      </c>
    </row>
    <row r="19" spans="2:5" x14ac:dyDescent="0.25">
      <c r="B19" s="4" t="s">
        <v>3</v>
      </c>
      <c r="C19" s="7">
        <v>491.5151515151515</v>
      </c>
      <c r="D19" s="7">
        <v>3.4141414141414139</v>
      </c>
      <c r="E19" s="3">
        <v>297</v>
      </c>
    </row>
    <row r="20" spans="2:5" x14ac:dyDescent="0.25">
      <c r="B20" s="4" t="s">
        <v>4</v>
      </c>
      <c r="C20" s="7">
        <v>486.62982832618025</v>
      </c>
      <c r="D20" s="7">
        <v>-2.2918454935622319</v>
      </c>
      <c r="E20" s="3">
        <v>466</v>
      </c>
    </row>
    <row r="21" spans="2:5" x14ac:dyDescent="0.25">
      <c r="B21" s="2" t="s">
        <v>1</v>
      </c>
      <c r="C21" s="3">
        <v>427.20037912578056</v>
      </c>
      <c r="D21" s="3">
        <v>-0.20361284567350579</v>
      </c>
      <c r="E21" s="3">
        <v>4484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>
      <selection activeCell="O17" sqref="O17"/>
    </sheetView>
  </sheetViews>
  <sheetFormatPr defaultRowHeight="15" x14ac:dyDescent="0.25"/>
  <cols>
    <col min="2" max="2" width="13.140625" bestFit="1" customWidth="1"/>
    <col min="3" max="4" width="11" bestFit="1" customWidth="1"/>
    <col min="5" max="5" width="14.42578125" customWidth="1"/>
  </cols>
  <sheetData>
    <row r="2" spans="2:6" x14ac:dyDescent="0.25">
      <c r="B2" s="1" t="s">
        <v>0</v>
      </c>
      <c r="C2" t="s">
        <v>29</v>
      </c>
      <c r="E2" t="s">
        <v>59</v>
      </c>
      <c r="F2" t="s">
        <v>37</v>
      </c>
    </row>
    <row r="3" spans="2:6" x14ac:dyDescent="0.25">
      <c r="B3" s="2" t="s">
        <v>52</v>
      </c>
      <c r="C3" s="5">
        <v>0.38012618296529971</v>
      </c>
      <c r="E3" s="2" t="s">
        <v>54</v>
      </c>
      <c r="F3" s="5">
        <v>0.37049180327868853</v>
      </c>
    </row>
    <row r="4" spans="2:6" x14ac:dyDescent="0.25">
      <c r="B4" s="2" t="s">
        <v>53</v>
      </c>
      <c r="C4" s="5">
        <v>0.41009463722397477</v>
      </c>
      <c r="E4" s="2" t="s">
        <v>56</v>
      </c>
      <c r="F4" s="5">
        <v>0.37871674491392804</v>
      </c>
    </row>
    <row r="5" spans="2:6" x14ac:dyDescent="0.25">
      <c r="B5" s="2" t="s">
        <v>54</v>
      </c>
      <c r="C5" s="5">
        <v>0.37049180327868853</v>
      </c>
      <c r="E5" s="2" t="s">
        <v>52</v>
      </c>
      <c r="F5" s="5">
        <v>0.38012618296529971</v>
      </c>
    </row>
    <row r="6" spans="2:6" x14ac:dyDescent="0.25">
      <c r="B6" s="2" t="s">
        <v>55</v>
      </c>
      <c r="C6" s="5">
        <v>0.38138138138138139</v>
      </c>
      <c r="E6" s="2" t="s">
        <v>55</v>
      </c>
      <c r="F6" s="5">
        <v>0.38138138138138139</v>
      </c>
    </row>
    <row r="7" spans="2:6" x14ac:dyDescent="0.25">
      <c r="B7" s="2" t="s">
        <v>56</v>
      </c>
      <c r="C7" s="5">
        <v>0.37871674491392804</v>
      </c>
      <c r="E7" s="2" t="s">
        <v>58</v>
      </c>
      <c r="F7" s="5">
        <v>0.38906752411575563</v>
      </c>
    </row>
    <row r="8" spans="2:6" x14ac:dyDescent="0.25">
      <c r="B8" s="2" t="s">
        <v>57</v>
      </c>
      <c r="C8" s="5">
        <v>0.43151693667157587</v>
      </c>
      <c r="E8" s="2" t="s">
        <v>53</v>
      </c>
      <c r="F8" s="5">
        <v>0.41009463722397477</v>
      </c>
    </row>
    <row r="9" spans="2:6" x14ac:dyDescent="0.25">
      <c r="B9" s="2" t="s">
        <v>58</v>
      </c>
      <c r="C9" s="5">
        <v>0.38906752411575563</v>
      </c>
      <c r="E9" s="2" t="s">
        <v>57</v>
      </c>
      <c r="F9" s="5">
        <v>0.43151693667157587</v>
      </c>
    </row>
    <row r="10" spans="2:6" x14ac:dyDescent="0.25">
      <c r="B10" s="2" t="s">
        <v>1</v>
      </c>
      <c r="C10" s="3">
        <v>0.39206066012488849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T24"/>
  <sheetViews>
    <sheetView showGridLines="0" tabSelected="1" zoomScale="70" zoomScaleNormal="70" workbookViewId="0">
      <selection activeCell="O39" sqref="O39"/>
    </sheetView>
  </sheetViews>
  <sheetFormatPr defaultRowHeight="15" x14ac:dyDescent="0.25"/>
  <cols>
    <col min="1" max="1" width="4.140625" style="15" customWidth="1"/>
    <col min="2" max="4" width="9.140625" style="15"/>
    <col min="5" max="5" width="2.42578125" style="15" customWidth="1"/>
    <col min="6" max="8" width="9.140625" style="15"/>
    <col min="9" max="9" width="4.7109375" style="15" customWidth="1"/>
    <col min="10" max="10" width="5.85546875" style="15" customWidth="1"/>
    <col min="11" max="11" width="2.140625" style="15" customWidth="1"/>
    <col min="12" max="12" width="2.5703125" style="15" customWidth="1"/>
    <col min="13" max="13" width="11.28515625" style="15" customWidth="1"/>
    <col min="14" max="14" width="4.5703125" style="15" customWidth="1"/>
    <col min="15" max="18" width="9.140625" style="15"/>
    <col min="19" max="19" width="11.5703125" style="15" customWidth="1"/>
    <col min="20" max="20" width="4.28515625" style="15" customWidth="1"/>
    <col min="21" max="21" width="2.42578125" style="15" customWidth="1"/>
    <col min="22" max="27" width="9.140625" style="15"/>
    <col min="28" max="28" width="2" style="15" customWidth="1"/>
    <col min="29" max="16384" width="9.140625" style="15"/>
  </cols>
  <sheetData>
    <row r="1" spans="1:20" s="17" customFormat="1" x14ac:dyDescent="0.25"/>
    <row r="2" spans="1:20" s="17" customFormat="1" ht="28.5" customHeight="1" x14ac:dyDescent="0.25"/>
    <row r="3" spans="1:20" s="17" customFormat="1" ht="2.25" customHeight="1" x14ac:dyDescent="0.25"/>
    <row r="4" spans="1:20" ht="7.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9.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8.25" customHeight="1" x14ac:dyDescent="0.25">
      <c r="A9" s="16"/>
      <c r="B9" s="16"/>
      <c r="C9" s="16"/>
      <c r="D9" s="16"/>
      <c r="E9" s="16"/>
      <c r="F9" s="16"/>
      <c r="G9" s="16"/>
      <c r="H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ht="15.75" customHeight="1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19.5" customHeight="1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ht="8.25" customHeight="1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ht="10.5" customHeight="1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38.25" customHeight="1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ht="11.2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ht="9" customHeight="1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ht="8.25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21.75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t="9.75" customHeight="1" x14ac:dyDescent="0.25"/>
  </sheetData>
  <mergeCells count="1">
    <mergeCell ref="A1:XFD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445AE122-E5BB-4E96-80AD-2A90FDB33EEB}">
  <ds:schemaRefs/>
</ds:datastoreItem>
</file>

<file path=customXml/itemProps2.xml><?xml version="1.0" encoding="utf-8"?>
<ds:datastoreItem xmlns:ds="http://schemas.openxmlformats.org/officeDocument/2006/customXml" ds:itemID="{7E52A4CF-BF91-4F8D-81E3-478B8C660170}">
  <ds:schemaRefs/>
</ds:datastoreItem>
</file>

<file path=customXml/itemProps3.xml><?xml version="1.0" encoding="utf-8"?>
<ds:datastoreItem xmlns:ds="http://schemas.openxmlformats.org/officeDocument/2006/customXml" ds:itemID="{4467AADA-9977-49DC-A1E7-644A90F21513}">
  <ds:schemaRefs/>
</ds:datastoreItem>
</file>

<file path=customXml/itemProps4.xml><?xml version="1.0" encoding="utf-8"?>
<ds:datastoreItem xmlns:ds="http://schemas.openxmlformats.org/officeDocument/2006/customXml" ds:itemID="{4305ACA6-D58A-4879-9419-BB216F8E4ECA}">
  <ds:schemaRefs/>
</ds:datastoreItem>
</file>

<file path=customXml/itemProps5.xml><?xml version="1.0" encoding="utf-8"?>
<ds:datastoreItem xmlns:ds="http://schemas.openxmlformats.org/officeDocument/2006/customXml" ds:itemID="{EE720561-5127-42E3-8B22-90F7FA641BC7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693511CF-CBF9-41C5-843D-7F362269EAE1}">
  <ds:schemaRefs/>
</ds:datastoreItem>
</file>

<file path=customXml/itemProps7.xml><?xml version="1.0" encoding="utf-8"?>
<ds:datastoreItem xmlns:ds="http://schemas.openxmlformats.org/officeDocument/2006/customXml" ds:itemID="{4A89F618-72F0-4E86-9CCC-05C0E5915849}">
  <ds:schemaRefs/>
</ds:datastoreItem>
</file>

<file path=customXml/itemProps8.xml><?xml version="1.0" encoding="utf-8"?>
<ds:datastoreItem xmlns:ds="http://schemas.openxmlformats.org/officeDocument/2006/customXml" ds:itemID="{8F47CB4C-ED4B-4430-A9EC-73525A730CE3}">
  <ds:schemaRefs/>
</ds:datastoreItem>
</file>

<file path=customXml/itemProps9.xml><?xml version="1.0" encoding="utf-8"?>
<ds:datastoreItem xmlns:ds="http://schemas.openxmlformats.org/officeDocument/2006/customXml" ds:itemID="{E81CB783-3800-4865-9613-50E92855555C}">
  <ds:schemaRefs/>
</ds:datastoreItem>
</file>

<file path=customXml/itemProps10.xml><?xml version="1.0" encoding="utf-8"?>
<ds:datastoreItem xmlns:ds="http://schemas.openxmlformats.org/officeDocument/2006/customXml" ds:itemID="{0C9CCE60-14F8-4F1C-A3BC-2ED2C2199905}">
  <ds:schemaRefs/>
</ds:datastoreItem>
</file>

<file path=customXml/itemProps11.xml><?xml version="1.0" encoding="utf-8"?>
<ds:datastoreItem xmlns:ds="http://schemas.openxmlformats.org/officeDocument/2006/customXml" ds:itemID="{72C51511-0BBB-4CA4-ACA4-8161080ACD58}">
  <ds:schemaRefs/>
</ds:datastoreItem>
</file>

<file path=customXml/itemProps12.xml><?xml version="1.0" encoding="utf-8"?>
<ds:datastoreItem xmlns:ds="http://schemas.openxmlformats.org/officeDocument/2006/customXml" ds:itemID="{E5A506F9-E9B4-41A4-AF30-4A8A42610BDA}">
  <ds:schemaRefs/>
</ds:datastoreItem>
</file>

<file path=customXml/itemProps13.xml><?xml version="1.0" encoding="utf-8"?>
<ds:datastoreItem xmlns:ds="http://schemas.openxmlformats.org/officeDocument/2006/customXml" ds:itemID="{5F511D07-866F-4547-9E2A-059298E8253F}">
  <ds:schemaRefs/>
</ds:datastoreItem>
</file>

<file path=customXml/itemProps14.xml><?xml version="1.0" encoding="utf-8"?>
<ds:datastoreItem xmlns:ds="http://schemas.openxmlformats.org/officeDocument/2006/customXml" ds:itemID="{2E37829A-EC3E-4148-ABDD-3F0D285F0142}">
  <ds:schemaRefs/>
</ds:datastoreItem>
</file>

<file path=customXml/itemProps15.xml><?xml version="1.0" encoding="utf-8"?>
<ds:datastoreItem xmlns:ds="http://schemas.openxmlformats.org/officeDocument/2006/customXml" ds:itemID="{D217A210-DF93-43D8-9011-7296A83F9701}">
  <ds:schemaRefs/>
</ds:datastoreItem>
</file>

<file path=customXml/itemProps16.xml><?xml version="1.0" encoding="utf-8"?>
<ds:datastoreItem xmlns:ds="http://schemas.openxmlformats.org/officeDocument/2006/customXml" ds:itemID="{8B5F1016-FC49-4104-B5AE-856356553513}">
  <ds:schemaRefs/>
</ds:datastoreItem>
</file>

<file path=customXml/itemProps17.xml><?xml version="1.0" encoding="utf-8"?>
<ds:datastoreItem xmlns:ds="http://schemas.openxmlformats.org/officeDocument/2006/customXml" ds:itemID="{FBEEAB57-8A45-42C9-A0FC-16012C519354}">
  <ds:schemaRefs/>
</ds:datastoreItem>
</file>

<file path=customXml/itemProps18.xml><?xml version="1.0" encoding="utf-8"?>
<ds:datastoreItem xmlns:ds="http://schemas.openxmlformats.org/officeDocument/2006/customXml" ds:itemID="{D42F2E6B-211F-49F5-A18A-9148B2F28A5E}">
  <ds:schemaRefs/>
</ds:datastoreItem>
</file>

<file path=customXml/itemProps19.xml><?xml version="1.0" encoding="utf-8"?>
<ds:datastoreItem xmlns:ds="http://schemas.openxmlformats.org/officeDocument/2006/customXml" ds:itemID="{23ED4A11-3FE0-42AE-A838-07A56055A0BC}">
  <ds:schemaRefs/>
</ds:datastoreItem>
</file>

<file path=customXml/itemProps20.xml><?xml version="1.0" encoding="utf-8"?>
<ds:datastoreItem xmlns:ds="http://schemas.openxmlformats.org/officeDocument/2006/customXml" ds:itemID="{D5A13923-4B46-4E96-BC77-D37D0A350E3A}">
  <ds:schemaRefs/>
</ds:datastoreItem>
</file>

<file path=customXml/itemProps21.xml><?xml version="1.0" encoding="utf-8"?>
<ds:datastoreItem xmlns:ds="http://schemas.openxmlformats.org/officeDocument/2006/customXml" ds:itemID="{1C74D017-FB52-4667-80D1-C0BDD151D8A8}">
  <ds:schemaRefs/>
</ds:datastoreItem>
</file>

<file path=customXml/itemProps22.xml><?xml version="1.0" encoding="utf-8"?>
<ds:datastoreItem xmlns:ds="http://schemas.openxmlformats.org/officeDocument/2006/customXml" ds:itemID="{112F484A-23A3-42C7-9029-38D19A7B73E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Analysis_1_OTD_Trend</vt:lpstr>
      <vt:lpstr>Analysis_2_Carrier_Performance</vt:lpstr>
      <vt:lpstr>Analysis_3_Region_Route</vt:lpstr>
      <vt:lpstr>Analysis_4_Delay_vs_Cost</vt:lpstr>
      <vt:lpstr>Analysis_5_Day-of-week Pattern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SUBORNA</dc:creator>
  <cp:lastModifiedBy>SUBORNA</cp:lastModifiedBy>
  <dcterms:created xsi:type="dcterms:W3CDTF">2026-07-03T14:58:35Z</dcterms:created>
  <dcterms:modified xsi:type="dcterms:W3CDTF">2026-07-07T02:39:39Z</dcterms:modified>
</cp:coreProperties>
</file>